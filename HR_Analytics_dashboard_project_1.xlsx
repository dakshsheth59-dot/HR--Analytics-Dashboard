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dakshsheth/"/>
    </mc:Choice>
  </mc:AlternateContent>
  <xr:revisionPtr revIDLastSave="0" documentId="8_{2C0D725C-1A7F-9D4E-92B7-FEAA623C01C0}" xr6:coauthVersionLast="47" xr6:coauthVersionMax="47" xr10:uidLastSave="{00000000-0000-0000-0000-000000000000}"/>
  <bookViews>
    <workbookView xWindow="0" yWindow="660" windowWidth="29400" windowHeight="17200" activeTab="1" xr2:uid="{00000000-000D-0000-FFFF-FFFF00000000}"/>
  </bookViews>
  <sheets>
    <sheet name="Employee Data" sheetId="1" r:id="rId1"/>
    <sheet name="KPI Summary" sheetId="2" r:id="rId2"/>
  </sheets>
  <externalReferences>
    <externalReference r:id="rId3"/>
  </externalReferences>
  <definedNames>
    <definedName name="_xlnm._FilterDatabase" localSheetId="0" hidden="1">'Employee Data'!$A$1:$P$501</definedName>
    <definedName name="_xlchart.v1.3" hidden="1">'KPI Summary'!$A$5:$A$10</definedName>
    <definedName name="_xlchart.v1.4" hidden="1">'KPI Summary'!$B$4</definedName>
    <definedName name="_xlchart.v1.5" hidden="1">'KPI Summary'!$B$5:$B$10</definedName>
    <definedName name="_xlchart.v2.0" hidden="1">'KPI Summary'!$A$5:$A$10</definedName>
    <definedName name="_xlchart.v2.1" hidden="1">'KPI Summary'!$B$4</definedName>
    <definedName name="_xlchart.v2.2" hidden="1">'KPI Summary'!$B$5:$B$10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2" l="1"/>
  <c r="B30" i="2"/>
  <c r="B31" i="2"/>
  <c r="B32" i="2"/>
  <c r="B33" i="2"/>
  <c r="B28" i="2"/>
  <c r="B25" i="2"/>
  <c r="C17" i="2"/>
  <c r="C18" i="2"/>
  <c r="C19" i="2"/>
  <c r="C20" i="2"/>
  <c r="C21" i="2"/>
  <c r="B17" i="2"/>
  <c r="B18" i="2"/>
  <c r="B19" i="2"/>
  <c r="B20" i="2"/>
  <c r="B21" i="2"/>
  <c r="B16" i="2"/>
  <c r="C16" i="2" s="1"/>
  <c r="B6" i="2"/>
  <c r="B7" i="2"/>
  <c r="B8" i="2"/>
  <c r="B9" i="2"/>
  <c r="B10" i="2"/>
  <c r="B5" i="2"/>
  <c r="B3" i="2"/>
  <c r="B12" i="2" l="1"/>
  <c r="B13" i="2" s="1"/>
</calcChain>
</file>

<file path=xl/sharedStrings.xml><?xml version="1.0" encoding="utf-8"?>
<sst xmlns="http://schemas.openxmlformats.org/spreadsheetml/2006/main" count="5047" uniqueCount="1053">
  <si>
    <t>EmployeeID</t>
  </si>
  <si>
    <t>Age</t>
  </si>
  <si>
    <t>Gender</t>
  </si>
  <si>
    <t>Department</t>
  </si>
  <si>
    <t>JobRole</t>
  </si>
  <si>
    <t>Location</t>
  </si>
  <si>
    <t>EducationLevel</t>
  </si>
  <si>
    <t>HireDate</t>
  </si>
  <si>
    <t>YearsAtCompany</t>
  </si>
  <si>
    <t>YearsOfExperience</t>
  </si>
  <si>
    <t>MonthlySalaryAED</t>
  </si>
  <si>
    <t>JobSatisfaction</t>
  </si>
  <si>
    <t>PerformanceRating</t>
  </si>
  <si>
    <t>Overtime</t>
  </si>
  <si>
    <t>WorkArrangement</t>
  </si>
  <si>
    <t>Attrition</t>
  </si>
  <si>
    <t>EMP0001</t>
  </si>
  <si>
    <t>Female</t>
  </si>
  <si>
    <t>Marketing</t>
  </si>
  <si>
    <t>Marketing Executive</t>
  </si>
  <si>
    <t>Dubai</t>
  </si>
  <si>
    <t>High School</t>
  </si>
  <si>
    <t>2026-04-16</t>
  </si>
  <si>
    <t>No</t>
  </si>
  <si>
    <t>On-site</t>
  </si>
  <si>
    <t>EMP0002</t>
  </si>
  <si>
    <t>Sales</t>
  </si>
  <si>
    <t>Account Manager</t>
  </si>
  <si>
    <t>Master's</t>
  </si>
  <si>
    <t>2026-02-05</t>
  </si>
  <si>
    <t>EMP0003</t>
  </si>
  <si>
    <t>Prefer not to say</t>
  </si>
  <si>
    <t>Finance</t>
  </si>
  <si>
    <t>Accountant</t>
  </si>
  <si>
    <t>Sharjah</t>
  </si>
  <si>
    <t>2018-08-23</t>
  </si>
  <si>
    <t>Hybrid</t>
  </si>
  <si>
    <t>EMP0004</t>
  </si>
  <si>
    <t>IT</t>
  </si>
  <si>
    <t>IT Support Specialist</t>
  </si>
  <si>
    <t>2013-06-11</t>
  </si>
  <si>
    <t>Yes</t>
  </si>
  <si>
    <t>EMP0005</t>
  </si>
  <si>
    <t>Male</t>
  </si>
  <si>
    <t>Software Developer</t>
  </si>
  <si>
    <t>Diploma</t>
  </si>
  <si>
    <t>2018-12-26</t>
  </si>
  <si>
    <t>EMP0006</t>
  </si>
  <si>
    <t>Non-binary</t>
  </si>
  <si>
    <t>Sales Manager</t>
  </si>
  <si>
    <t>Abu Dhabi</t>
  </si>
  <si>
    <t>Bachelor's</t>
  </si>
  <si>
    <t>2013-03-10</t>
  </si>
  <si>
    <t>EMP0007</t>
  </si>
  <si>
    <t>Human Resources</t>
  </si>
  <si>
    <t>HR Officer</t>
  </si>
  <si>
    <t>Doctorate</t>
  </si>
  <si>
    <t>2020-01-19</t>
  </si>
  <si>
    <t>EMP0008</t>
  </si>
  <si>
    <t>IT Manager</t>
  </si>
  <si>
    <t>2023-09-20</t>
  </si>
  <si>
    <t>EMP0009</t>
  </si>
  <si>
    <t>2015-07-12</t>
  </si>
  <si>
    <t>EMP0010</t>
  </si>
  <si>
    <t>HR Analyst</t>
  </si>
  <si>
    <t>2017-02-09</t>
  </si>
  <si>
    <t>EMP0011</t>
  </si>
  <si>
    <t>Sales Executive</t>
  </si>
  <si>
    <t>2016-05-15</t>
  </si>
  <si>
    <t>EMP0012</t>
  </si>
  <si>
    <t>2024-02-16</t>
  </si>
  <si>
    <t>EMP0013</t>
  </si>
  <si>
    <t>2017-03-08</t>
  </si>
  <si>
    <t>EMP0014</t>
  </si>
  <si>
    <t>2026-03-22</t>
  </si>
  <si>
    <t>EMP0015</t>
  </si>
  <si>
    <t>Data Analyst</t>
  </si>
  <si>
    <t>2022-02-02</t>
  </si>
  <si>
    <t>EMP0016</t>
  </si>
  <si>
    <t>2015-05-07</t>
  </si>
  <si>
    <t>Remote</t>
  </si>
  <si>
    <t>EMP0017</t>
  </si>
  <si>
    <t>HR Assistant</t>
  </si>
  <si>
    <t>2018-01-20</t>
  </si>
  <si>
    <t>EMP0018</t>
  </si>
  <si>
    <t>2023-08-01</t>
  </si>
  <si>
    <t>EMP0019</t>
  </si>
  <si>
    <t>2026-07-01</t>
  </si>
  <si>
    <t>EMP0020</t>
  </si>
  <si>
    <t>Operations</t>
  </si>
  <si>
    <t>Team Leader</t>
  </si>
  <si>
    <t>2012-07-13</t>
  </si>
  <si>
    <t>EMP0021</t>
  </si>
  <si>
    <t>Operations Coordinator</t>
  </si>
  <si>
    <t>2026-05-07</t>
  </si>
  <si>
    <t>EMP0022</t>
  </si>
  <si>
    <t>2012-09-30</t>
  </si>
  <si>
    <t>EMP0023</t>
  </si>
  <si>
    <t>Sales Analyst</t>
  </si>
  <si>
    <t>2021-04-21</t>
  </si>
  <si>
    <t>EMP0024</t>
  </si>
  <si>
    <t>Operations Manager</t>
  </si>
  <si>
    <t>2024-05-01</t>
  </si>
  <si>
    <t>EMP0025</t>
  </si>
  <si>
    <t>Financial Analyst</t>
  </si>
  <si>
    <t>2024-06-21</t>
  </si>
  <si>
    <t>EMP0026</t>
  </si>
  <si>
    <t>2017-12-11</t>
  </si>
  <si>
    <t>EMP0027</t>
  </si>
  <si>
    <t>2021-11-08</t>
  </si>
  <si>
    <t>EMP0028</t>
  </si>
  <si>
    <t>2025-12-19</t>
  </si>
  <si>
    <t>EMP0029</t>
  </si>
  <si>
    <t>2022-09-03</t>
  </si>
  <si>
    <t>EMP0030</t>
  </si>
  <si>
    <t>2012-09-06</t>
  </si>
  <si>
    <t>EMP0031</t>
  </si>
  <si>
    <t>2022-12-21</t>
  </si>
  <si>
    <t>EMP0032</t>
  </si>
  <si>
    <t>2023-01-18</t>
  </si>
  <si>
    <t>EMP0033</t>
  </si>
  <si>
    <t>2026-03-17</t>
  </si>
  <si>
    <t>EMP0034</t>
  </si>
  <si>
    <t>2026-06-28</t>
  </si>
  <si>
    <t>EMP0035</t>
  </si>
  <si>
    <t>2016-01-03</t>
  </si>
  <si>
    <t>EMP0036</t>
  </si>
  <si>
    <t>Content Specialist</t>
  </si>
  <si>
    <t>2025-01-06</t>
  </si>
  <si>
    <t>EMP0037</t>
  </si>
  <si>
    <t>2025-07-17</t>
  </si>
  <si>
    <t>EMP0038</t>
  </si>
  <si>
    <t>2018-06-07</t>
  </si>
  <si>
    <t>EMP0039</t>
  </si>
  <si>
    <t>HR Manager</t>
  </si>
  <si>
    <t>2012-05-11</t>
  </si>
  <si>
    <t>EMP0040</t>
  </si>
  <si>
    <t>2026-02-18</t>
  </si>
  <si>
    <t>EMP0041</t>
  </si>
  <si>
    <t>Accounts Assistant</t>
  </si>
  <si>
    <t>2015-04-20</t>
  </si>
  <si>
    <t>EMP0042</t>
  </si>
  <si>
    <t>Operations Analyst</t>
  </si>
  <si>
    <t>2016-08-22</t>
  </si>
  <si>
    <t>EMP0043</t>
  </si>
  <si>
    <t>2012-05-07</t>
  </si>
  <si>
    <t>EMP0044</t>
  </si>
  <si>
    <t>2025-10-14</t>
  </si>
  <si>
    <t>EMP0045</t>
  </si>
  <si>
    <t>Finance Manager</t>
  </si>
  <si>
    <t>2024-10-07</t>
  </si>
  <si>
    <t>EMP0046</t>
  </si>
  <si>
    <t>2016-11-09</t>
  </si>
  <si>
    <t>EMP0047</t>
  </si>
  <si>
    <t>2021-03-10</t>
  </si>
  <si>
    <t>EMP0048</t>
  </si>
  <si>
    <t>2016-05-01</t>
  </si>
  <si>
    <t>EMP0049</t>
  </si>
  <si>
    <t>2019-03-09</t>
  </si>
  <si>
    <t>EMP0050</t>
  </si>
  <si>
    <t>Marketing Manager</t>
  </si>
  <si>
    <t>2014-04-02</t>
  </si>
  <si>
    <t>EMP0051</t>
  </si>
  <si>
    <t>2023-09-27</t>
  </si>
  <si>
    <t>EMP0052</t>
  </si>
  <si>
    <t>2016-08-10</t>
  </si>
  <si>
    <t>EMP0053</t>
  </si>
  <si>
    <t>2013-08-22</t>
  </si>
  <si>
    <t>EMP0054</t>
  </si>
  <si>
    <t>2024-12-24</t>
  </si>
  <si>
    <t>EMP0055</t>
  </si>
  <si>
    <t>2012-03-30</t>
  </si>
  <si>
    <t>EMP0056</t>
  </si>
  <si>
    <t>2025-09-30</t>
  </si>
  <si>
    <t>EMP0057</t>
  </si>
  <si>
    <t>2014-01-25</t>
  </si>
  <si>
    <t>EMP0058</t>
  </si>
  <si>
    <t>2021-02-28</t>
  </si>
  <si>
    <t>EMP0059</t>
  </si>
  <si>
    <t>2024-06-05</t>
  </si>
  <si>
    <t>EMP0060</t>
  </si>
  <si>
    <t>2018-02-07</t>
  </si>
  <si>
    <t>EMP0061</t>
  </si>
  <si>
    <t>2025-03-12</t>
  </si>
  <si>
    <t>EMP0062</t>
  </si>
  <si>
    <t>2024-09-23</t>
  </si>
  <si>
    <t>EMP0063</t>
  </si>
  <si>
    <t>2023-07-26</t>
  </si>
  <si>
    <t>EMP0064</t>
  </si>
  <si>
    <t>2020-04-28</t>
  </si>
  <si>
    <t>EMP0065</t>
  </si>
  <si>
    <t>2022-08-20</t>
  </si>
  <si>
    <t>EMP0066</t>
  </si>
  <si>
    <t>2023-07-28</t>
  </si>
  <si>
    <t>EMP0067</t>
  </si>
  <si>
    <t>2013-07-08</t>
  </si>
  <si>
    <t>EMP0068</t>
  </si>
  <si>
    <t>2021-08-27</t>
  </si>
  <si>
    <t>EMP0069</t>
  </si>
  <si>
    <t>Marketing Analyst</t>
  </si>
  <si>
    <t>EMP0070</t>
  </si>
  <si>
    <t>2021-08-02</t>
  </si>
  <si>
    <t>EMP0071</t>
  </si>
  <si>
    <t>2014-04-17</t>
  </si>
  <si>
    <t>EMP0072</t>
  </si>
  <si>
    <t>2011-11-29</t>
  </si>
  <si>
    <t>EMP0073</t>
  </si>
  <si>
    <t>2019-03-24</t>
  </si>
  <si>
    <t>EMP0074</t>
  </si>
  <si>
    <t>2017-06-08</t>
  </si>
  <si>
    <t>EMP0075</t>
  </si>
  <si>
    <t>2017-12-21</t>
  </si>
  <si>
    <t>EMP0076</t>
  </si>
  <si>
    <t>2026-02-22</t>
  </si>
  <si>
    <t>EMP0077</t>
  </si>
  <si>
    <t>2019-09-28</t>
  </si>
  <si>
    <t>EMP0078</t>
  </si>
  <si>
    <t>2024-03-31</t>
  </si>
  <si>
    <t>EMP0079</t>
  </si>
  <si>
    <t>2018-01-27</t>
  </si>
  <si>
    <t>EMP0080</t>
  </si>
  <si>
    <t>2024-01-07</t>
  </si>
  <si>
    <t>EMP0081</t>
  </si>
  <si>
    <t>2025-12-18</t>
  </si>
  <si>
    <t>EMP0082</t>
  </si>
  <si>
    <t>EMP0083</t>
  </si>
  <si>
    <t>2025-06-03</t>
  </si>
  <si>
    <t>EMP0084</t>
  </si>
  <si>
    <t>2012-04-03</t>
  </si>
  <si>
    <t>EMP0085</t>
  </si>
  <si>
    <t>2015-07-11</t>
  </si>
  <si>
    <t>EMP0086</t>
  </si>
  <si>
    <t>2017-01-28</t>
  </si>
  <si>
    <t>EMP0087</t>
  </si>
  <si>
    <t>2018-10-07</t>
  </si>
  <si>
    <t>EMP0088</t>
  </si>
  <si>
    <t>2020-02-13</t>
  </si>
  <si>
    <t>EMP0089</t>
  </si>
  <si>
    <t>2014-10-29</t>
  </si>
  <si>
    <t>EMP0090</t>
  </si>
  <si>
    <t>2026-07-17</t>
  </si>
  <si>
    <t>EMP0091</t>
  </si>
  <si>
    <t>2023-05-16</t>
  </si>
  <si>
    <t>EMP0092</t>
  </si>
  <si>
    <t>2013-11-13</t>
  </si>
  <si>
    <t>EMP0093</t>
  </si>
  <si>
    <t>2025-06-27</t>
  </si>
  <si>
    <t>EMP0094</t>
  </si>
  <si>
    <t>2021-10-30</t>
  </si>
  <si>
    <t>EMP0095</t>
  </si>
  <si>
    <t>2013-03-19</t>
  </si>
  <si>
    <t>EMP0096</t>
  </si>
  <si>
    <t>2018-03-20</t>
  </si>
  <si>
    <t>EMP0097</t>
  </si>
  <si>
    <t>2013-01-05</t>
  </si>
  <si>
    <t>EMP0098</t>
  </si>
  <si>
    <t>2013-04-12</t>
  </si>
  <si>
    <t>EMP0099</t>
  </si>
  <si>
    <t>2020-02-10</t>
  </si>
  <si>
    <t>EMP0100</t>
  </si>
  <si>
    <t>2014-12-27</t>
  </si>
  <si>
    <t>EMP0101</t>
  </si>
  <si>
    <t>EMP0102</t>
  </si>
  <si>
    <t>2013-05-11</t>
  </si>
  <si>
    <t>EMP0103</t>
  </si>
  <si>
    <t>2012-11-10</t>
  </si>
  <si>
    <t>EMP0104</t>
  </si>
  <si>
    <t>2026-04-12</t>
  </si>
  <si>
    <t>EMP0105</t>
  </si>
  <si>
    <t>2015-03-26</t>
  </si>
  <si>
    <t>EMP0106</t>
  </si>
  <si>
    <t>2026-03-03</t>
  </si>
  <si>
    <t>EMP0107</t>
  </si>
  <si>
    <t>2016-11-17</t>
  </si>
  <si>
    <t>EMP0108</t>
  </si>
  <si>
    <t>2024-06-10</t>
  </si>
  <si>
    <t>EMP0109</t>
  </si>
  <si>
    <t>2017-12-05</t>
  </si>
  <si>
    <t>EMP0110</t>
  </si>
  <si>
    <t>2026-01-01</t>
  </si>
  <si>
    <t>EMP0111</t>
  </si>
  <si>
    <t>2025-11-17</t>
  </si>
  <si>
    <t>EMP0112</t>
  </si>
  <si>
    <t>2022-03-15</t>
  </si>
  <si>
    <t>EMP0113</t>
  </si>
  <si>
    <t>2016-10-11</t>
  </si>
  <si>
    <t>EMP0114</t>
  </si>
  <si>
    <t>2022-11-23</t>
  </si>
  <si>
    <t>EMP0115</t>
  </si>
  <si>
    <t>2026-05-22</t>
  </si>
  <si>
    <t>EMP0116</t>
  </si>
  <si>
    <t>2025-07-30</t>
  </si>
  <si>
    <t>EMP0117</t>
  </si>
  <si>
    <t>2015-10-10</t>
  </si>
  <si>
    <t>EMP0118</t>
  </si>
  <si>
    <t>2013-12-05</t>
  </si>
  <si>
    <t>EMP0119</t>
  </si>
  <si>
    <t>2012-05-31</t>
  </si>
  <si>
    <t>EMP0120</t>
  </si>
  <si>
    <t>2012-05-22</t>
  </si>
  <si>
    <t>EMP0121</t>
  </si>
  <si>
    <t>2018-06-05</t>
  </si>
  <si>
    <t>EMP0122</t>
  </si>
  <si>
    <t>2017-05-08</t>
  </si>
  <si>
    <t>EMP0123</t>
  </si>
  <si>
    <t>2021-12-12</t>
  </si>
  <si>
    <t>EMP0124</t>
  </si>
  <si>
    <t>2024-07-10</t>
  </si>
  <si>
    <t>EMP0125</t>
  </si>
  <si>
    <t>2023-09-16</t>
  </si>
  <si>
    <t>EMP0126</t>
  </si>
  <si>
    <t>EMP0127</t>
  </si>
  <si>
    <t>2023-01-21</t>
  </si>
  <si>
    <t>EMP0128</t>
  </si>
  <si>
    <t>2020-08-09</t>
  </si>
  <si>
    <t>EMP0129</t>
  </si>
  <si>
    <t>2026-08-16</t>
  </si>
  <si>
    <t>EMP0130</t>
  </si>
  <si>
    <t>2014-11-19</t>
  </si>
  <si>
    <t>EMP0131</t>
  </si>
  <si>
    <t>EMP0132</t>
  </si>
  <si>
    <t>2025-08-25</t>
  </si>
  <si>
    <t>EMP0133</t>
  </si>
  <si>
    <t>2025-09-13</t>
  </si>
  <si>
    <t>EMP0134</t>
  </si>
  <si>
    <t>2024-09-05</t>
  </si>
  <si>
    <t>EMP0135</t>
  </si>
  <si>
    <t>2017-02-05</t>
  </si>
  <si>
    <t>EMP0136</t>
  </si>
  <si>
    <t>2016-08-17</t>
  </si>
  <si>
    <t>EMP0137</t>
  </si>
  <si>
    <t>2026-01-18</t>
  </si>
  <si>
    <t>EMP0138</t>
  </si>
  <si>
    <t>2017-11-02</t>
  </si>
  <si>
    <t>EMP0139</t>
  </si>
  <si>
    <t>2012-09-18</t>
  </si>
  <si>
    <t>EMP0140</t>
  </si>
  <si>
    <t>2020-05-17</t>
  </si>
  <si>
    <t>EMP0141</t>
  </si>
  <si>
    <t>2019-05-06</t>
  </si>
  <si>
    <t>EMP0142</t>
  </si>
  <si>
    <t>2014-10-31</t>
  </si>
  <si>
    <t>EMP0143</t>
  </si>
  <si>
    <t>2016-10-09</t>
  </si>
  <si>
    <t>EMP0144</t>
  </si>
  <si>
    <t>2025-04-29</t>
  </si>
  <si>
    <t>EMP0145</t>
  </si>
  <si>
    <t>2020-06-25</t>
  </si>
  <si>
    <t>EMP0146</t>
  </si>
  <si>
    <t>2025-06-17</t>
  </si>
  <si>
    <t>EMP0147</t>
  </si>
  <si>
    <t>2019-10-25</t>
  </si>
  <si>
    <t>EMP0148</t>
  </si>
  <si>
    <t>2014-05-03</t>
  </si>
  <si>
    <t>EMP0149</t>
  </si>
  <si>
    <t>2025-02-16</t>
  </si>
  <si>
    <t>EMP0150</t>
  </si>
  <si>
    <t>2024-12-13</t>
  </si>
  <si>
    <t>EMP0151</t>
  </si>
  <si>
    <t>2015-09-04</t>
  </si>
  <si>
    <t>EMP0152</t>
  </si>
  <si>
    <t>2025-06-10</t>
  </si>
  <si>
    <t>EMP0153</t>
  </si>
  <si>
    <t>2025-04-11</t>
  </si>
  <si>
    <t>EMP0154</t>
  </si>
  <si>
    <t>2018-09-20</t>
  </si>
  <si>
    <t>EMP0155</t>
  </si>
  <si>
    <t>2026-07-28</t>
  </si>
  <si>
    <t>EMP0156</t>
  </si>
  <si>
    <t>2024-05-02</t>
  </si>
  <si>
    <t>EMP0157</t>
  </si>
  <si>
    <t>EMP0158</t>
  </si>
  <si>
    <t>2023-08-16</t>
  </si>
  <si>
    <t>EMP0159</t>
  </si>
  <si>
    <t>2024-12-08</t>
  </si>
  <si>
    <t>EMP0160</t>
  </si>
  <si>
    <t>2014-11-09</t>
  </si>
  <si>
    <t>EMP0161</t>
  </si>
  <si>
    <t>2025-08-05</t>
  </si>
  <si>
    <t>EMP0162</t>
  </si>
  <si>
    <t>2026-04-30</t>
  </si>
  <si>
    <t>EMP0163</t>
  </si>
  <si>
    <t>2015-05-31</t>
  </si>
  <si>
    <t>EMP0164</t>
  </si>
  <si>
    <t>2014-09-26</t>
  </si>
  <si>
    <t>EMP0165</t>
  </si>
  <si>
    <t>2021-07-03</t>
  </si>
  <si>
    <t>EMP0166</t>
  </si>
  <si>
    <t>2019-01-13</t>
  </si>
  <si>
    <t>EMP0167</t>
  </si>
  <si>
    <t>2025-06-25</t>
  </si>
  <si>
    <t>EMP0168</t>
  </si>
  <si>
    <t>2018-01-05</t>
  </si>
  <si>
    <t>EMP0169</t>
  </si>
  <si>
    <t>2013-08-13</t>
  </si>
  <si>
    <t>EMP0170</t>
  </si>
  <si>
    <t>2024-07-20</t>
  </si>
  <si>
    <t>EMP0171</t>
  </si>
  <si>
    <t>2021-11-09</t>
  </si>
  <si>
    <t>EMP0172</t>
  </si>
  <si>
    <t>2018-04-06</t>
  </si>
  <si>
    <t>EMP0173</t>
  </si>
  <si>
    <t>2019-05-29</t>
  </si>
  <si>
    <t>EMP0174</t>
  </si>
  <si>
    <t>2021-11-04</t>
  </si>
  <si>
    <t>EMP0175</t>
  </si>
  <si>
    <t>2019-12-22</t>
  </si>
  <si>
    <t>EMP0176</t>
  </si>
  <si>
    <t>2014-12-05</t>
  </si>
  <si>
    <t>EMP0177</t>
  </si>
  <si>
    <t>2024-11-06</t>
  </si>
  <si>
    <t>EMP0178</t>
  </si>
  <si>
    <t>2024-11-16</t>
  </si>
  <si>
    <t>EMP0179</t>
  </si>
  <si>
    <t>2023-07-08</t>
  </si>
  <si>
    <t>EMP0180</t>
  </si>
  <si>
    <t>2022-11-28</t>
  </si>
  <si>
    <t>EMP0181</t>
  </si>
  <si>
    <t>2014-03-10</t>
  </si>
  <si>
    <t>EMP0182</t>
  </si>
  <si>
    <t>2025-01-21</t>
  </si>
  <si>
    <t>EMP0183</t>
  </si>
  <si>
    <t>2019-01-08</t>
  </si>
  <si>
    <t>EMP0184</t>
  </si>
  <si>
    <t>2017-08-05</t>
  </si>
  <si>
    <t>EMP0185</t>
  </si>
  <si>
    <t>2016-02-11</t>
  </si>
  <si>
    <t>EMP0186</t>
  </si>
  <si>
    <t>2021-08-06</t>
  </si>
  <si>
    <t>EMP0187</t>
  </si>
  <si>
    <t>2024-01-18</t>
  </si>
  <si>
    <t>EMP0188</t>
  </si>
  <si>
    <t>2017-02-21</t>
  </si>
  <si>
    <t>EMP0189</t>
  </si>
  <si>
    <t>2022-06-29</t>
  </si>
  <si>
    <t>EMP0190</t>
  </si>
  <si>
    <t>2022-12-14</t>
  </si>
  <si>
    <t>EMP0191</t>
  </si>
  <si>
    <t>2023-08-21</t>
  </si>
  <si>
    <t>EMP0192</t>
  </si>
  <si>
    <t>2023-04-13</t>
  </si>
  <si>
    <t>EMP0193</t>
  </si>
  <si>
    <t>2016-05-02</t>
  </si>
  <si>
    <t>EMP0194</t>
  </si>
  <si>
    <t>2016-03-29</t>
  </si>
  <si>
    <t>EMP0195</t>
  </si>
  <si>
    <t>2012-11-08</t>
  </si>
  <si>
    <t>EMP0196</t>
  </si>
  <si>
    <t>2017-09-02</t>
  </si>
  <si>
    <t>EMP0197</t>
  </si>
  <si>
    <t>2014-08-16</t>
  </si>
  <si>
    <t>EMP0198</t>
  </si>
  <si>
    <t>2019-10-31</t>
  </si>
  <si>
    <t>EMP0199</t>
  </si>
  <si>
    <t>2020-09-29</t>
  </si>
  <si>
    <t>EMP0200</t>
  </si>
  <si>
    <t>2025-12-12</t>
  </si>
  <si>
    <t>EMP0201</t>
  </si>
  <si>
    <t>2024-04-03</t>
  </si>
  <si>
    <t>EMP0202</t>
  </si>
  <si>
    <t>2026-03-16</t>
  </si>
  <si>
    <t>EMP0203</t>
  </si>
  <si>
    <t>2026-01-21</t>
  </si>
  <si>
    <t>EMP0204</t>
  </si>
  <si>
    <t>EMP0205</t>
  </si>
  <si>
    <t>2023-02-24</t>
  </si>
  <si>
    <t>EMP0206</t>
  </si>
  <si>
    <t>2018-07-23</t>
  </si>
  <si>
    <t>EMP0207</t>
  </si>
  <si>
    <t>2020-04-08</t>
  </si>
  <si>
    <t>EMP0208</t>
  </si>
  <si>
    <t>2015-06-22</t>
  </si>
  <si>
    <t>EMP0209</t>
  </si>
  <si>
    <t>2026-07-22</t>
  </si>
  <si>
    <t>EMP0210</t>
  </si>
  <si>
    <t>2020-02-22</t>
  </si>
  <si>
    <t>EMP0211</t>
  </si>
  <si>
    <t>2026-02-23</t>
  </si>
  <si>
    <t>EMP0212</t>
  </si>
  <si>
    <t>2026-01-12</t>
  </si>
  <si>
    <t>EMP0213</t>
  </si>
  <si>
    <t>2015-08-17</t>
  </si>
  <si>
    <t>EMP0214</t>
  </si>
  <si>
    <t>2024-06-04</t>
  </si>
  <si>
    <t>EMP0215</t>
  </si>
  <si>
    <t>2022-11-11</t>
  </si>
  <si>
    <t>EMP0216</t>
  </si>
  <si>
    <t>2024-02-17</t>
  </si>
  <si>
    <t>EMP0217</t>
  </si>
  <si>
    <t>EMP0218</t>
  </si>
  <si>
    <t>2026-08-14</t>
  </si>
  <si>
    <t>EMP0219</t>
  </si>
  <si>
    <t>2017-10-22</t>
  </si>
  <si>
    <t>EMP0220</t>
  </si>
  <si>
    <t>2016-01-12</t>
  </si>
  <si>
    <t>EMP0221</t>
  </si>
  <si>
    <t>2017-03-03</t>
  </si>
  <si>
    <t>EMP0222</t>
  </si>
  <si>
    <t>2024-10-06</t>
  </si>
  <si>
    <t>EMP0223</t>
  </si>
  <si>
    <t>2024-09-08</t>
  </si>
  <si>
    <t>EMP0224</t>
  </si>
  <si>
    <t>2026-01-28</t>
  </si>
  <si>
    <t>EMP0225</t>
  </si>
  <si>
    <t>2026-04-17</t>
  </si>
  <si>
    <t>EMP0226</t>
  </si>
  <si>
    <t>2026-01-11</t>
  </si>
  <si>
    <t>EMP0227</t>
  </si>
  <si>
    <t>2017-12-08</t>
  </si>
  <si>
    <t>EMP0228</t>
  </si>
  <si>
    <t>2015-02-25</t>
  </si>
  <si>
    <t>EMP0229</t>
  </si>
  <si>
    <t>2014-05-19</t>
  </si>
  <si>
    <t>EMP0230</t>
  </si>
  <si>
    <t>2021-08-29</t>
  </si>
  <si>
    <t>EMP0231</t>
  </si>
  <si>
    <t>2026-04-21</t>
  </si>
  <si>
    <t>EMP0232</t>
  </si>
  <si>
    <t>2026-03-20</t>
  </si>
  <si>
    <t>EMP0233</t>
  </si>
  <si>
    <t>2019-11-22</t>
  </si>
  <si>
    <t>EMP0234</t>
  </si>
  <si>
    <t>2012-02-27</t>
  </si>
  <si>
    <t>EMP0235</t>
  </si>
  <si>
    <t>2016-03-12</t>
  </si>
  <si>
    <t>EMP0236</t>
  </si>
  <si>
    <t>2021-05-27</t>
  </si>
  <si>
    <t>EMP0237</t>
  </si>
  <si>
    <t>2018-09-29</t>
  </si>
  <si>
    <t>EMP0238</t>
  </si>
  <si>
    <t>2023-02-03</t>
  </si>
  <si>
    <t>EMP0239</t>
  </si>
  <si>
    <t>2023-05-08</t>
  </si>
  <si>
    <t>EMP0240</t>
  </si>
  <si>
    <t>2022-06-25</t>
  </si>
  <si>
    <t>EMP0241</t>
  </si>
  <si>
    <t>2023-08-05</t>
  </si>
  <si>
    <t>EMP0242</t>
  </si>
  <si>
    <t>2018-11-26</t>
  </si>
  <si>
    <t>EMP0243</t>
  </si>
  <si>
    <t>2014-04-19</t>
  </si>
  <si>
    <t>EMP0244</t>
  </si>
  <si>
    <t>2026-06-06</t>
  </si>
  <si>
    <t>EMP0245</t>
  </si>
  <si>
    <t>2022-03-13</t>
  </si>
  <si>
    <t>EMP0246</t>
  </si>
  <si>
    <t>2020-11-04</t>
  </si>
  <si>
    <t>EMP0247</t>
  </si>
  <si>
    <t>EMP0248</t>
  </si>
  <si>
    <t>2022-06-12</t>
  </si>
  <si>
    <t>EMP0249</t>
  </si>
  <si>
    <t>2016-04-18</t>
  </si>
  <si>
    <t>EMP0250</t>
  </si>
  <si>
    <t>2024-05-04</t>
  </si>
  <si>
    <t>EMP0251</t>
  </si>
  <si>
    <t>2023-11-07</t>
  </si>
  <si>
    <t>EMP0252</t>
  </si>
  <si>
    <t>2016-11-25</t>
  </si>
  <si>
    <t>EMP0253</t>
  </si>
  <si>
    <t>2021-02-25</t>
  </si>
  <si>
    <t>EMP0254</t>
  </si>
  <si>
    <t>2018-01-19</t>
  </si>
  <si>
    <t>EMP0255</t>
  </si>
  <si>
    <t>2020-03-03</t>
  </si>
  <si>
    <t>EMP0256</t>
  </si>
  <si>
    <t>2026-07-06</t>
  </si>
  <si>
    <t>EMP0257</t>
  </si>
  <si>
    <t>2020-11-12</t>
  </si>
  <si>
    <t>EMP0258</t>
  </si>
  <si>
    <t>2026-07-02</t>
  </si>
  <si>
    <t>EMP0259</t>
  </si>
  <si>
    <t>2020-04-27</t>
  </si>
  <si>
    <t>EMP0260</t>
  </si>
  <si>
    <t>2024-10-23</t>
  </si>
  <si>
    <t>EMP0261</t>
  </si>
  <si>
    <t>2016-02-12</t>
  </si>
  <si>
    <t>EMP0262</t>
  </si>
  <si>
    <t>2019-02-24</t>
  </si>
  <si>
    <t>EMP0263</t>
  </si>
  <si>
    <t>2024-10-26</t>
  </si>
  <si>
    <t>EMP0264</t>
  </si>
  <si>
    <t>2026-04-02</t>
  </si>
  <si>
    <t>EMP0265</t>
  </si>
  <si>
    <t>2026-08-12</t>
  </si>
  <si>
    <t>EMP0266</t>
  </si>
  <si>
    <t>2024-08-01</t>
  </si>
  <si>
    <t>EMP0267</t>
  </si>
  <si>
    <t>2025-08-07</t>
  </si>
  <si>
    <t>EMP0268</t>
  </si>
  <si>
    <t>2019-05-09</t>
  </si>
  <si>
    <t>EMP0269</t>
  </si>
  <si>
    <t>2024-05-18</t>
  </si>
  <si>
    <t>EMP0270</t>
  </si>
  <si>
    <t>2021-08-07</t>
  </si>
  <si>
    <t>EMP0271</t>
  </si>
  <si>
    <t>2021-10-02</t>
  </si>
  <si>
    <t>EMP0272</t>
  </si>
  <si>
    <t>2026-08-21</t>
  </si>
  <si>
    <t>EMP0273</t>
  </si>
  <si>
    <t>2017-02-01</t>
  </si>
  <si>
    <t>EMP0274</t>
  </si>
  <si>
    <t>2016-06-19</t>
  </si>
  <si>
    <t>EMP0275</t>
  </si>
  <si>
    <t>2025-04-20</t>
  </si>
  <si>
    <t>EMP0276</t>
  </si>
  <si>
    <t>2021-06-03</t>
  </si>
  <si>
    <t>EMP0277</t>
  </si>
  <si>
    <t>2023-03-08</t>
  </si>
  <si>
    <t>EMP0278</t>
  </si>
  <si>
    <t>2014-08-10</t>
  </si>
  <si>
    <t>EMP0279</t>
  </si>
  <si>
    <t>2025-11-05</t>
  </si>
  <si>
    <t>EMP0280</t>
  </si>
  <si>
    <t>2013-08-10</t>
  </si>
  <si>
    <t>EMP0281</t>
  </si>
  <si>
    <t>2018-10-10</t>
  </si>
  <si>
    <t>EMP0282</t>
  </si>
  <si>
    <t>2025-08-20</t>
  </si>
  <si>
    <t>EMP0283</t>
  </si>
  <si>
    <t>2015-06-27</t>
  </si>
  <si>
    <t>EMP0284</t>
  </si>
  <si>
    <t>2023-02-19</t>
  </si>
  <si>
    <t>EMP0285</t>
  </si>
  <si>
    <t>2023-11-01</t>
  </si>
  <si>
    <t>EMP0286</t>
  </si>
  <si>
    <t>2020-07-02</t>
  </si>
  <si>
    <t>EMP0287</t>
  </si>
  <si>
    <t>2012-08-12</t>
  </si>
  <si>
    <t>EMP0288</t>
  </si>
  <si>
    <t>2019-08-27</t>
  </si>
  <si>
    <t>EMP0289</t>
  </si>
  <si>
    <t>EMP0290</t>
  </si>
  <si>
    <t>2017-11-11</t>
  </si>
  <si>
    <t>EMP0291</t>
  </si>
  <si>
    <t>2017-04-05</t>
  </si>
  <si>
    <t>EMP0292</t>
  </si>
  <si>
    <t>2021-04-19</t>
  </si>
  <si>
    <t>EMP0293</t>
  </si>
  <si>
    <t>2025-09-15</t>
  </si>
  <si>
    <t>EMP0294</t>
  </si>
  <si>
    <t>2019-01-21</t>
  </si>
  <si>
    <t>EMP0295</t>
  </si>
  <si>
    <t>2021-07-17</t>
  </si>
  <si>
    <t>EMP0296</t>
  </si>
  <si>
    <t>2020-05-26</t>
  </si>
  <si>
    <t>EMP0297</t>
  </si>
  <si>
    <t>2024-06-26</t>
  </si>
  <si>
    <t>EMP0298</t>
  </si>
  <si>
    <t>2024-10-28</t>
  </si>
  <si>
    <t>EMP0299</t>
  </si>
  <si>
    <t>2026-04-11</t>
  </si>
  <si>
    <t>EMP0300</t>
  </si>
  <si>
    <t>2020-04-05</t>
  </si>
  <si>
    <t>EMP0301</t>
  </si>
  <si>
    <t>2013-04-27</t>
  </si>
  <si>
    <t>EMP0302</t>
  </si>
  <si>
    <t>2024-07-15</t>
  </si>
  <si>
    <t>EMP0303</t>
  </si>
  <si>
    <t>2021-05-13</t>
  </si>
  <si>
    <t>EMP0304</t>
  </si>
  <si>
    <t>2026-02-16</t>
  </si>
  <si>
    <t>EMP0305</t>
  </si>
  <si>
    <t>2012-10-24</t>
  </si>
  <si>
    <t>EMP0306</t>
  </si>
  <si>
    <t>2019-01-26</t>
  </si>
  <si>
    <t>EMP0307</t>
  </si>
  <si>
    <t>2025-08-18</t>
  </si>
  <si>
    <t>EMP0308</t>
  </si>
  <si>
    <t>2016-09-22</t>
  </si>
  <si>
    <t>EMP0309</t>
  </si>
  <si>
    <t>2026-06-01</t>
  </si>
  <si>
    <t>EMP0310</t>
  </si>
  <si>
    <t>2025-10-18</t>
  </si>
  <si>
    <t>EMP0311</t>
  </si>
  <si>
    <t>2026-03-21</t>
  </si>
  <si>
    <t>EMP0312</t>
  </si>
  <si>
    <t>2018-09-03</t>
  </si>
  <si>
    <t>EMP0313</t>
  </si>
  <si>
    <t>2015-10-28</t>
  </si>
  <si>
    <t>EMP0314</t>
  </si>
  <si>
    <t>2016-07-29</t>
  </si>
  <si>
    <t>EMP0315</t>
  </si>
  <si>
    <t>2025-03-30</t>
  </si>
  <si>
    <t>EMP0316</t>
  </si>
  <si>
    <t>2021-12-19</t>
  </si>
  <si>
    <t>EMP0317</t>
  </si>
  <si>
    <t>2018-07-30</t>
  </si>
  <si>
    <t>EMP0318</t>
  </si>
  <si>
    <t>2024-03-02</t>
  </si>
  <si>
    <t>EMP0319</t>
  </si>
  <si>
    <t>2021-10-21</t>
  </si>
  <si>
    <t>EMP0320</t>
  </si>
  <si>
    <t>2025-10-16</t>
  </si>
  <si>
    <t>EMP0321</t>
  </si>
  <si>
    <t>2019-01-27</t>
  </si>
  <si>
    <t>EMP0322</t>
  </si>
  <si>
    <t>2014-12-07</t>
  </si>
  <si>
    <t>EMP0323</t>
  </si>
  <si>
    <t>2023-04-06</t>
  </si>
  <si>
    <t>EMP0324</t>
  </si>
  <si>
    <t>2026-06-07</t>
  </si>
  <si>
    <t>EMP0325</t>
  </si>
  <si>
    <t>2022-12-20</t>
  </si>
  <si>
    <t>EMP0326</t>
  </si>
  <si>
    <t>2012-07-04</t>
  </si>
  <si>
    <t>EMP0327</t>
  </si>
  <si>
    <t>2025-02-28</t>
  </si>
  <si>
    <t>EMP0328</t>
  </si>
  <si>
    <t>2026-07-14</t>
  </si>
  <si>
    <t>EMP0329</t>
  </si>
  <si>
    <t>2016-06-20</t>
  </si>
  <si>
    <t>EMP0330</t>
  </si>
  <si>
    <t>2021-12-24</t>
  </si>
  <si>
    <t>EMP0331</t>
  </si>
  <si>
    <t>2014-12-23</t>
  </si>
  <si>
    <t>EMP0332</t>
  </si>
  <si>
    <t>EMP0333</t>
  </si>
  <si>
    <t>2013-08-19</t>
  </si>
  <si>
    <t>EMP0334</t>
  </si>
  <si>
    <t>2026-02-07</t>
  </si>
  <si>
    <t>EMP0335</t>
  </si>
  <si>
    <t>2025-10-19</t>
  </si>
  <si>
    <t>EMP0336</t>
  </si>
  <si>
    <t>2016-03-03</t>
  </si>
  <si>
    <t>EMP0337</t>
  </si>
  <si>
    <t>2017-07-12</t>
  </si>
  <si>
    <t>EMP0338</t>
  </si>
  <si>
    <t>2021-05-02</t>
  </si>
  <si>
    <t>EMP0339</t>
  </si>
  <si>
    <t>2014-11-23</t>
  </si>
  <si>
    <t>EMP0340</t>
  </si>
  <si>
    <t>2018-08-14</t>
  </si>
  <si>
    <t>EMP0341</t>
  </si>
  <si>
    <t>2025-10-15</t>
  </si>
  <si>
    <t>EMP0342</t>
  </si>
  <si>
    <t>2022-09-14</t>
  </si>
  <si>
    <t>EMP0343</t>
  </si>
  <si>
    <t>2025-03-28</t>
  </si>
  <si>
    <t>EMP0344</t>
  </si>
  <si>
    <t>2020-09-07</t>
  </si>
  <si>
    <t>EMP0345</t>
  </si>
  <si>
    <t>2023-10-14</t>
  </si>
  <si>
    <t>EMP0346</t>
  </si>
  <si>
    <t>2025-01-17</t>
  </si>
  <si>
    <t>EMP0347</t>
  </si>
  <si>
    <t>2016-08-04</t>
  </si>
  <si>
    <t>EMP0348</t>
  </si>
  <si>
    <t>2013-01-19</t>
  </si>
  <si>
    <t>EMP0349</t>
  </si>
  <si>
    <t>EMP0350</t>
  </si>
  <si>
    <t>2022-10-08</t>
  </si>
  <si>
    <t>EMP0351</t>
  </si>
  <si>
    <t>2016-11-19</t>
  </si>
  <si>
    <t>EMP0352</t>
  </si>
  <si>
    <t>2018-08-07</t>
  </si>
  <si>
    <t>EMP0353</t>
  </si>
  <si>
    <t>2022-03-30</t>
  </si>
  <si>
    <t>EMP0354</t>
  </si>
  <si>
    <t>2025-06-30</t>
  </si>
  <si>
    <t>EMP0355</t>
  </si>
  <si>
    <t>2025-10-30</t>
  </si>
  <si>
    <t>EMP0356</t>
  </si>
  <si>
    <t>2023-10-11</t>
  </si>
  <si>
    <t>EMP0357</t>
  </si>
  <si>
    <t>2023-10-28</t>
  </si>
  <si>
    <t>EMP0358</t>
  </si>
  <si>
    <t>2015-01-16</t>
  </si>
  <si>
    <t>EMP0359</t>
  </si>
  <si>
    <t>2019-11-03</t>
  </si>
  <si>
    <t>EMP0360</t>
  </si>
  <si>
    <t>2024-08-15</t>
  </si>
  <si>
    <t>EMP0361</t>
  </si>
  <si>
    <t>EMP0362</t>
  </si>
  <si>
    <t>2025-03-06</t>
  </si>
  <si>
    <t>EMP0363</t>
  </si>
  <si>
    <t>2026-01-06</t>
  </si>
  <si>
    <t>EMP0364</t>
  </si>
  <si>
    <t>2012-08-21</t>
  </si>
  <si>
    <t>EMP0365</t>
  </si>
  <si>
    <t>2013-04-18</t>
  </si>
  <si>
    <t>EMP0366</t>
  </si>
  <si>
    <t>EMP0367</t>
  </si>
  <si>
    <t>2014-12-04</t>
  </si>
  <si>
    <t>EMP0368</t>
  </si>
  <si>
    <t>2014-08-25</t>
  </si>
  <si>
    <t>EMP0369</t>
  </si>
  <si>
    <t>2026-07-23</t>
  </si>
  <si>
    <t>EMP0370</t>
  </si>
  <si>
    <t>2025-04-27</t>
  </si>
  <si>
    <t>EMP0371</t>
  </si>
  <si>
    <t>2020-06-28</t>
  </si>
  <si>
    <t>EMP0372</t>
  </si>
  <si>
    <t>2025-12-09</t>
  </si>
  <si>
    <t>EMP0373</t>
  </si>
  <si>
    <t>2014-07-23</t>
  </si>
  <si>
    <t>EMP0374</t>
  </si>
  <si>
    <t>EMP0375</t>
  </si>
  <si>
    <t>2025-08-31</t>
  </si>
  <si>
    <t>EMP0376</t>
  </si>
  <si>
    <t>2025-10-27</t>
  </si>
  <si>
    <t>EMP0377</t>
  </si>
  <si>
    <t>2024-11-21</t>
  </si>
  <si>
    <t>EMP0378</t>
  </si>
  <si>
    <t>2014-02-08</t>
  </si>
  <si>
    <t>EMP0379</t>
  </si>
  <si>
    <t>2023-05-09</t>
  </si>
  <si>
    <t>EMP0380</t>
  </si>
  <si>
    <t>2021-12-11</t>
  </si>
  <si>
    <t>EMP0381</t>
  </si>
  <si>
    <t>2013-12-17</t>
  </si>
  <si>
    <t>EMP0382</t>
  </si>
  <si>
    <t>2021-09-28</t>
  </si>
  <si>
    <t>EMP0383</t>
  </si>
  <si>
    <t>2017-04-17</t>
  </si>
  <si>
    <t>EMP0384</t>
  </si>
  <si>
    <t>2021-09-25</t>
  </si>
  <si>
    <t>EMP0385</t>
  </si>
  <si>
    <t>2024-08-24</t>
  </si>
  <si>
    <t>EMP0386</t>
  </si>
  <si>
    <t>2012-02-26</t>
  </si>
  <si>
    <t>EMP0387</t>
  </si>
  <si>
    <t>2017-02-25</t>
  </si>
  <si>
    <t>EMP0388</t>
  </si>
  <si>
    <t>2020-03-31</t>
  </si>
  <si>
    <t>EMP0389</t>
  </si>
  <si>
    <t>2020-12-16</t>
  </si>
  <si>
    <t>EMP0390</t>
  </si>
  <si>
    <t>2025-05-26</t>
  </si>
  <si>
    <t>EMP0391</t>
  </si>
  <si>
    <t>2020-08-25</t>
  </si>
  <si>
    <t>EMP0392</t>
  </si>
  <si>
    <t>EMP0393</t>
  </si>
  <si>
    <t>EMP0394</t>
  </si>
  <si>
    <t>2023-07-11</t>
  </si>
  <si>
    <t>EMP0395</t>
  </si>
  <si>
    <t>2012-01-15</t>
  </si>
  <si>
    <t>EMP0396</t>
  </si>
  <si>
    <t>2025-03-05</t>
  </si>
  <si>
    <t>EMP0397</t>
  </si>
  <si>
    <t>2026-01-20</t>
  </si>
  <si>
    <t>EMP0398</t>
  </si>
  <si>
    <t>2013-07-19</t>
  </si>
  <si>
    <t>EMP0399</t>
  </si>
  <si>
    <t>2021-09-26</t>
  </si>
  <si>
    <t>EMP0400</t>
  </si>
  <si>
    <t>2025-03-20</t>
  </si>
  <si>
    <t>EMP0401</t>
  </si>
  <si>
    <t>2025-11-04</t>
  </si>
  <si>
    <t>EMP0402</t>
  </si>
  <si>
    <t>2012-05-26</t>
  </si>
  <si>
    <t>EMP0403</t>
  </si>
  <si>
    <t>2013-06-13</t>
  </si>
  <si>
    <t>EMP0404</t>
  </si>
  <si>
    <t>2025-05-17</t>
  </si>
  <si>
    <t>EMP0405</t>
  </si>
  <si>
    <t>2023-06-02</t>
  </si>
  <si>
    <t>EMP0406</t>
  </si>
  <si>
    <t>2015-09-15</t>
  </si>
  <si>
    <t>EMP0407</t>
  </si>
  <si>
    <t>2026-04-03</t>
  </si>
  <si>
    <t>EMP0408</t>
  </si>
  <si>
    <t>2020-02-07</t>
  </si>
  <si>
    <t>EMP0409</t>
  </si>
  <si>
    <t>2019-07-12</t>
  </si>
  <si>
    <t>EMP0410</t>
  </si>
  <si>
    <t>2020-02-14</t>
  </si>
  <si>
    <t>EMP0411</t>
  </si>
  <si>
    <t>2025-01-07</t>
  </si>
  <si>
    <t>EMP0412</t>
  </si>
  <si>
    <t>2016-06-14</t>
  </si>
  <si>
    <t>EMP0413</t>
  </si>
  <si>
    <t>2012-12-30</t>
  </si>
  <si>
    <t>EMP0414</t>
  </si>
  <si>
    <t>2017-06-21</t>
  </si>
  <si>
    <t>EMP0415</t>
  </si>
  <si>
    <t>2024-08-05</t>
  </si>
  <si>
    <t>EMP0416</t>
  </si>
  <si>
    <t>2022-05-10</t>
  </si>
  <si>
    <t>EMP0417</t>
  </si>
  <si>
    <t>2019-12-17</t>
  </si>
  <si>
    <t>EMP0418</t>
  </si>
  <si>
    <t>2025-02-26</t>
  </si>
  <si>
    <t>EMP0419</t>
  </si>
  <si>
    <t>2013-06-20</t>
  </si>
  <si>
    <t>EMP0420</t>
  </si>
  <si>
    <t>2026-07-20</t>
  </si>
  <si>
    <t>EMP0421</t>
  </si>
  <si>
    <t>2017-01-24</t>
  </si>
  <si>
    <t>EMP0422</t>
  </si>
  <si>
    <t>2014-07-14</t>
  </si>
  <si>
    <t>EMP0423</t>
  </si>
  <si>
    <t>2015-08-21</t>
  </si>
  <si>
    <t>EMP0424</t>
  </si>
  <si>
    <t>2015-10-20</t>
  </si>
  <si>
    <t>EMP0425</t>
  </si>
  <si>
    <t>2025-05-08</t>
  </si>
  <si>
    <t>EMP0426</t>
  </si>
  <si>
    <t>2020-10-13</t>
  </si>
  <si>
    <t>EMP0427</t>
  </si>
  <si>
    <t>2021-09-01</t>
  </si>
  <si>
    <t>EMP0428</t>
  </si>
  <si>
    <t>2013-03-27</t>
  </si>
  <si>
    <t>EMP0429</t>
  </si>
  <si>
    <t>2015-06-13</t>
  </si>
  <si>
    <t>EMP0430</t>
  </si>
  <si>
    <t>2025-10-22</t>
  </si>
  <si>
    <t>EMP0431</t>
  </si>
  <si>
    <t>EMP0432</t>
  </si>
  <si>
    <t>2024-06-29</t>
  </si>
  <si>
    <t>EMP0433</t>
  </si>
  <si>
    <t>2024-01-12</t>
  </si>
  <si>
    <t>EMP0434</t>
  </si>
  <si>
    <t>2025-01-08</t>
  </si>
  <si>
    <t>EMP0435</t>
  </si>
  <si>
    <t>2026-02-12</t>
  </si>
  <si>
    <t>EMP0436</t>
  </si>
  <si>
    <t>2020-11-26</t>
  </si>
  <si>
    <t>EMP0437</t>
  </si>
  <si>
    <t>EMP0438</t>
  </si>
  <si>
    <t>EMP0439</t>
  </si>
  <si>
    <t>2023-10-09</t>
  </si>
  <si>
    <t>EMP0440</t>
  </si>
  <si>
    <t>2024-10-19</t>
  </si>
  <si>
    <t>EMP0441</t>
  </si>
  <si>
    <t>2017-03-11</t>
  </si>
  <si>
    <t>EMP0442</t>
  </si>
  <si>
    <t>2022-10-07</t>
  </si>
  <si>
    <t>EMP0443</t>
  </si>
  <si>
    <t>2024-08-17</t>
  </si>
  <si>
    <t>EMP0444</t>
  </si>
  <si>
    <t>2024-02-12</t>
  </si>
  <si>
    <t>EMP0445</t>
  </si>
  <si>
    <t>2024-06-27</t>
  </si>
  <si>
    <t>EMP0446</t>
  </si>
  <si>
    <t>2026-05-24</t>
  </si>
  <si>
    <t>EMP0447</t>
  </si>
  <si>
    <t>2017-02-26</t>
  </si>
  <si>
    <t>EMP0448</t>
  </si>
  <si>
    <t>2026-05-17</t>
  </si>
  <si>
    <t>EMP0449</t>
  </si>
  <si>
    <t>2023-06-17</t>
  </si>
  <si>
    <t>EMP0450</t>
  </si>
  <si>
    <t>2026-04-24</t>
  </si>
  <si>
    <t>EMP0451</t>
  </si>
  <si>
    <t>2019-07-01</t>
  </si>
  <si>
    <t>EMP0452</t>
  </si>
  <si>
    <t>2025-06-29</t>
  </si>
  <si>
    <t>EMP0453</t>
  </si>
  <si>
    <t>2025-12-02</t>
  </si>
  <si>
    <t>EMP0454</t>
  </si>
  <si>
    <t>2014-07-08</t>
  </si>
  <si>
    <t>EMP0455</t>
  </si>
  <si>
    <t>2019-10-14</t>
  </si>
  <si>
    <t>EMP0456</t>
  </si>
  <si>
    <t>2018-05-20</t>
  </si>
  <si>
    <t>EMP0457</t>
  </si>
  <si>
    <t>2021-07-27</t>
  </si>
  <si>
    <t>EMP0458</t>
  </si>
  <si>
    <t>2013-05-01</t>
  </si>
  <si>
    <t>EMP0459</t>
  </si>
  <si>
    <t>2025-10-02</t>
  </si>
  <si>
    <t>EMP0460</t>
  </si>
  <si>
    <t>EMP0461</t>
  </si>
  <si>
    <t>2019-03-03</t>
  </si>
  <si>
    <t>EMP0462</t>
  </si>
  <si>
    <t>2018-11-06</t>
  </si>
  <si>
    <t>EMP0463</t>
  </si>
  <si>
    <t>2024-05-28</t>
  </si>
  <si>
    <t>EMP0464</t>
  </si>
  <si>
    <t>2017-10-23</t>
  </si>
  <si>
    <t>EMP0465</t>
  </si>
  <si>
    <t>EMP0466</t>
  </si>
  <si>
    <t>2025-08-22</t>
  </si>
  <si>
    <t>EMP0467</t>
  </si>
  <si>
    <t>2023-04-21</t>
  </si>
  <si>
    <t>EMP0468</t>
  </si>
  <si>
    <t>2024-01-05</t>
  </si>
  <si>
    <t>EMP0469</t>
  </si>
  <si>
    <t>2020-06-29</t>
  </si>
  <si>
    <t>EMP0470</t>
  </si>
  <si>
    <t>2020-03-25</t>
  </si>
  <si>
    <t>EMP0471</t>
  </si>
  <si>
    <t>2024-11-12</t>
  </si>
  <si>
    <t>EMP0472</t>
  </si>
  <si>
    <t>EMP0473</t>
  </si>
  <si>
    <t>2022-10-13</t>
  </si>
  <si>
    <t>EMP0474</t>
  </si>
  <si>
    <t>2018-09-30</t>
  </si>
  <si>
    <t>EMP0475</t>
  </si>
  <si>
    <t>2025-09-29</t>
  </si>
  <si>
    <t>EMP0476</t>
  </si>
  <si>
    <t>2025-02-14</t>
  </si>
  <si>
    <t>EMP0477</t>
  </si>
  <si>
    <t>EMP0478</t>
  </si>
  <si>
    <t>2012-02-02</t>
  </si>
  <si>
    <t>EMP0479</t>
  </si>
  <si>
    <t>2013-06-25</t>
  </si>
  <si>
    <t>EMP0480</t>
  </si>
  <si>
    <t>2025-03-13</t>
  </si>
  <si>
    <t>EMP0481</t>
  </si>
  <si>
    <t>2025-01-25</t>
  </si>
  <si>
    <t>EMP0482</t>
  </si>
  <si>
    <t>2023-08-15</t>
  </si>
  <si>
    <t>EMP0483</t>
  </si>
  <si>
    <t>EMP0484</t>
  </si>
  <si>
    <t>2022-09-20</t>
  </si>
  <si>
    <t>EMP0485</t>
  </si>
  <si>
    <t>2025-03-26</t>
  </si>
  <si>
    <t>EMP0486</t>
  </si>
  <si>
    <t>2014-04-21</t>
  </si>
  <si>
    <t>EMP0487</t>
  </si>
  <si>
    <t>2015-09-14</t>
  </si>
  <si>
    <t>EMP0488</t>
  </si>
  <si>
    <t>2015-01-08</t>
  </si>
  <si>
    <t>EMP0489</t>
  </si>
  <si>
    <t>2024-04-17</t>
  </si>
  <si>
    <t>EMP0490</t>
  </si>
  <si>
    <t>2022-06-10</t>
  </si>
  <si>
    <t>EMP0491</t>
  </si>
  <si>
    <t>2016-05-29</t>
  </si>
  <si>
    <t>EMP0492</t>
  </si>
  <si>
    <t>2024-11-29</t>
  </si>
  <si>
    <t>EMP0493</t>
  </si>
  <si>
    <t>2016-03-01</t>
  </si>
  <si>
    <t>EMP0494</t>
  </si>
  <si>
    <t>2018-09-18</t>
  </si>
  <si>
    <t>EMP0495</t>
  </si>
  <si>
    <t>2024-04-15</t>
  </si>
  <si>
    <t>EMP0496</t>
  </si>
  <si>
    <t>2018-09-13</t>
  </si>
  <si>
    <t>EMP0497</t>
  </si>
  <si>
    <t>2017-08-27</t>
  </si>
  <si>
    <t>EMP0498</t>
  </si>
  <si>
    <t>2026-03-07</t>
  </si>
  <si>
    <t>EMP0499</t>
  </si>
  <si>
    <t>2014-08-12</t>
  </si>
  <si>
    <t>EMP0500</t>
  </si>
  <si>
    <t>2016-02-25</t>
  </si>
  <si>
    <t xml:space="preserve">TOTAL EMPLOYEES </t>
  </si>
  <si>
    <t xml:space="preserve">DEPARTMENT </t>
  </si>
  <si>
    <t xml:space="preserve">HEADCOUNT </t>
  </si>
  <si>
    <t>HUMAN RESOURCES</t>
  </si>
  <si>
    <t xml:space="preserve">SALES </t>
  </si>
  <si>
    <t>FINANCE</t>
  </si>
  <si>
    <t>OPERATIONS</t>
  </si>
  <si>
    <t>MARKETING</t>
  </si>
  <si>
    <t>TOTAL ATTRITION</t>
  </si>
  <si>
    <t>ATTRITION RATE</t>
  </si>
  <si>
    <t xml:space="preserve">ATTRITION </t>
  </si>
  <si>
    <t>EMPLOYEE SATISFACTION</t>
  </si>
  <si>
    <t xml:space="preserve">Overall Job Satifaction </t>
  </si>
  <si>
    <t>AVG Satisfaction</t>
  </si>
  <si>
    <t xml:space="preserve">HR ANALYTICS DASHBOARD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</si>
</sst>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  <xf numFmtId="9" fontId="0" fillId="0" borderId="0" xfId="0" applyNumberFormat="1"/>
    <xf numFmtId="2" fontId="0" fillId="0" borderId="0" xfId="0" applyNumberFormat="1"/>
    <xf numFmtId="0" fontId="3" fillId="2" borderId="0" xfId="0" applyFont="1" applyFill="1"/>
    <xf numFmtId="0" fontId="4" fillId="2" borderId="0" xfId="0" applyFont="1" applyFill="1"/>
    <xf numFmtId="0" fontId="5" fillId="3" borderId="0" xfId="0" applyFont="1" applyFill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Employee</a:t>
            </a:r>
            <a:r>
              <a:rPr lang="en-GB" baseline="0"/>
              <a:t> </a:t>
            </a:r>
            <a:r>
              <a:rPr lang="en-GB"/>
              <a:t>Attrition</a:t>
            </a:r>
            <a:r>
              <a:rPr lang="en-GB" baseline="0"/>
              <a:t> by Department </a:t>
            </a:r>
            <a:r>
              <a:rPr lang="en-GB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Summary'!$B$15</c:f>
              <c:strCache>
                <c:ptCount val="1"/>
                <c:pt idx="0">
                  <c:v>ATTRITION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Summary'!$A$16:$A$21</c:f>
              <c:strCache>
                <c:ptCount val="6"/>
                <c:pt idx="0">
                  <c:v>HUMAN RESOURCES</c:v>
                </c:pt>
                <c:pt idx="1">
                  <c:v>SALES </c:v>
                </c:pt>
                <c:pt idx="2">
                  <c:v>FINANCE</c:v>
                </c:pt>
                <c:pt idx="3">
                  <c:v>IT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'KPI Summary'!$B$16:$B$21</c:f>
              <c:numCache>
                <c:formatCode>General</c:formatCode>
                <c:ptCount val="6"/>
                <c:pt idx="0">
                  <c:v>12</c:v>
                </c:pt>
                <c:pt idx="1">
                  <c:v>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7-514A-BFC9-CA2691176D1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0885888"/>
        <c:axId val="2120890816"/>
      </c:barChart>
      <c:catAx>
        <c:axId val="21208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90816"/>
        <c:crosses val="autoZero"/>
        <c:auto val="1"/>
        <c:lblAlgn val="ctr"/>
        <c:lblOffset val="100"/>
        <c:noMultiLvlLbl val="0"/>
      </c:catAx>
      <c:valAx>
        <c:axId val="212089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8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Employee Satisfaction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Summary'!$B$27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Summary'!$A$28:$A$33</c:f>
              <c:strCache>
                <c:ptCount val="6"/>
                <c:pt idx="0">
                  <c:v>HUMAN RESOURCES</c:v>
                </c:pt>
                <c:pt idx="1">
                  <c:v>SALES </c:v>
                </c:pt>
                <c:pt idx="2">
                  <c:v>FINANCE</c:v>
                </c:pt>
                <c:pt idx="3">
                  <c:v>IT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'KPI Summary'!$B$28:$B$33</c:f>
              <c:numCache>
                <c:formatCode>0.00</c:formatCode>
                <c:ptCount val="6"/>
                <c:pt idx="0">
                  <c:v>3.1477272727272729</c:v>
                </c:pt>
                <c:pt idx="1">
                  <c:v>3.4642857142857144</c:v>
                </c:pt>
                <c:pt idx="2">
                  <c:v>3.3663366336633662</c:v>
                </c:pt>
                <c:pt idx="3">
                  <c:v>3.3373493975903616</c:v>
                </c:pt>
                <c:pt idx="4">
                  <c:v>3.2266666666666666</c:v>
                </c:pt>
                <c:pt idx="5">
                  <c:v>3.4057971014492754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D-B74D-B5EB-C9ACBCA21A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7837632"/>
        <c:axId val="2127831808"/>
      </c:barChart>
      <c:catAx>
        <c:axId val="212783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1808"/>
        <c:crosses val="autoZero"/>
        <c:auto val="1"/>
        <c:lblAlgn val="ctr"/>
        <c:lblOffset val="100"/>
        <c:noMultiLvlLbl val="0"/>
      </c:catAx>
      <c:valAx>
        <c:axId val="2127831808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83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Departmnet Headcount</a:t>
            </a:r>
            <a:r>
              <a:rPr lang="en-US" baseline="0"/>
              <a:t> by Department 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'KPI Summary'!$B$4</c:f>
              <c:strCache>
                <c:ptCount val="1"/>
                <c:pt idx="0">
                  <c:v>HEADCOUNT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 Summary'!$A$5:$A$10</c:f>
              <c:strCache>
                <c:ptCount val="6"/>
                <c:pt idx="0">
                  <c:v>HUMAN RESOURCES</c:v>
                </c:pt>
                <c:pt idx="1">
                  <c:v>SALES </c:v>
                </c:pt>
                <c:pt idx="2">
                  <c:v>FINANCE</c:v>
                </c:pt>
                <c:pt idx="3">
                  <c:v>IT</c:v>
                </c:pt>
                <c:pt idx="4">
                  <c:v>OPERATIONS</c:v>
                </c:pt>
                <c:pt idx="5">
                  <c:v>MARKETING</c:v>
                </c:pt>
              </c:strCache>
            </c:strRef>
          </c:cat>
          <c:val>
            <c:numRef>
              <c:f>'KPI Summary'!$B$5:$B$10</c:f>
              <c:numCache>
                <c:formatCode>General</c:formatCode>
                <c:ptCount val="6"/>
                <c:pt idx="0">
                  <c:v>88</c:v>
                </c:pt>
                <c:pt idx="1">
                  <c:v>84</c:v>
                </c:pt>
                <c:pt idx="2">
                  <c:v>101</c:v>
                </c:pt>
                <c:pt idx="3">
                  <c:v>83</c:v>
                </c:pt>
                <c:pt idx="4">
                  <c:v>75</c:v>
                </c:pt>
                <c:pt idx="5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0-3A4A-9463-D750396270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0839872"/>
        <c:axId val="2120842112"/>
      </c:barChart>
      <c:catAx>
        <c:axId val="212083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42112"/>
        <c:crosses val="autoZero"/>
        <c:auto val="1"/>
        <c:lblAlgn val="ctr"/>
        <c:lblOffset val="100"/>
        <c:noMultiLvlLbl val="0"/>
      </c:catAx>
      <c:valAx>
        <c:axId val="2120842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83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13956</xdr:colOff>
      <xdr:row>12</xdr:row>
      <xdr:rowOff>178916</xdr:rowOff>
    </xdr:from>
    <xdr:to>
      <xdr:col>9</xdr:col>
      <xdr:colOff>464806</xdr:colOff>
      <xdr:row>23</xdr:row>
      <xdr:rowOff>153517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B7390-E6CE-9E93-B62A-9F1BF8585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23377</xdr:colOff>
      <xdr:row>25</xdr:row>
      <xdr:rowOff>142212</xdr:rowOff>
    </xdr:from>
    <xdr:to>
      <xdr:col>9</xdr:col>
      <xdr:colOff>465783</xdr:colOff>
      <xdr:row>36</xdr:row>
      <xdr:rowOff>181429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D7B74-D690-5245-3F54-9A541BA0AA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13956</xdr:colOff>
      <xdr:row>3</xdr:row>
      <xdr:rowOff>41868</xdr:rowOff>
    </xdr:from>
    <xdr:to>
      <xdr:col>9</xdr:col>
      <xdr:colOff>404726</xdr:colOff>
      <xdr:row>11</xdr:row>
      <xdr:rowOff>167472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04BA208-A682-621F-8003-0E35CE3D0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loyee%20Data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ta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5" customWidth="1"/>
    <col min="3" max="3" width="19" customWidth="1"/>
    <col min="4" max="4" width="17" customWidth="1"/>
    <col min="5" max="5" width="24" customWidth="1"/>
    <col min="6" max="6" width="11" customWidth="1"/>
    <col min="7" max="7" width="16" customWidth="1"/>
    <col min="8" max="8" width="12" customWidth="1"/>
    <col min="9" max="9" width="16" customWidth="1"/>
    <col min="10" max="10" width="19" customWidth="1"/>
    <col min="11" max="11" width="18" customWidth="1"/>
    <col min="12" max="12" width="17" customWidth="1"/>
    <col min="13" max="13" width="19" customWidth="1"/>
    <col min="14" max="14" width="10" customWidth="1"/>
    <col min="15" max="15" width="17" customWidth="1"/>
    <col min="16" max="16" width="1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>
        <v>22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0.4</v>
      </c>
      <c r="J2">
        <v>0</v>
      </c>
      <c r="K2">
        <v>6700</v>
      </c>
      <c r="L2">
        <v>2</v>
      </c>
      <c r="M2">
        <v>2</v>
      </c>
      <c r="N2" t="s">
        <v>23</v>
      </c>
      <c r="O2" t="s">
        <v>24</v>
      </c>
      <c r="P2" t="s">
        <v>23</v>
      </c>
    </row>
    <row r="3" spans="1:16" x14ac:dyDescent="0.2">
      <c r="A3" t="s">
        <v>25</v>
      </c>
      <c r="B3">
        <v>53</v>
      </c>
      <c r="C3" t="s">
        <v>17</v>
      </c>
      <c r="D3" t="s">
        <v>26</v>
      </c>
      <c r="E3" t="s">
        <v>27</v>
      </c>
      <c r="F3" t="s">
        <v>20</v>
      </c>
      <c r="G3" t="s">
        <v>28</v>
      </c>
      <c r="H3" t="s">
        <v>29</v>
      </c>
      <c r="I3">
        <v>0.6</v>
      </c>
      <c r="J3">
        <v>28</v>
      </c>
      <c r="K3">
        <v>20400</v>
      </c>
      <c r="L3">
        <v>4</v>
      </c>
      <c r="M3">
        <v>4</v>
      </c>
      <c r="N3" t="s">
        <v>23</v>
      </c>
      <c r="O3" t="s">
        <v>24</v>
      </c>
      <c r="P3" t="s">
        <v>23</v>
      </c>
    </row>
    <row r="4" spans="1:16" x14ac:dyDescent="0.2">
      <c r="A4" t="s">
        <v>30</v>
      </c>
      <c r="B4">
        <v>30</v>
      </c>
      <c r="C4" t="s">
        <v>31</v>
      </c>
      <c r="D4" t="s">
        <v>32</v>
      </c>
      <c r="E4" t="s">
        <v>33</v>
      </c>
      <c r="F4" t="s">
        <v>34</v>
      </c>
      <c r="G4" t="s">
        <v>21</v>
      </c>
      <c r="H4" t="s">
        <v>35</v>
      </c>
      <c r="I4">
        <v>8.1999999999999993</v>
      </c>
      <c r="J4">
        <v>8</v>
      </c>
      <c r="K4">
        <v>10300</v>
      </c>
      <c r="L4">
        <v>2</v>
      </c>
      <c r="M4">
        <v>2</v>
      </c>
      <c r="N4" t="s">
        <v>23</v>
      </c>
      <c r="O4" t="s">
        <v>36</v>
      </c>
      <c r="P4" t="s">
        <v>23</v>
      </c>
    </row>
    <row r="5" spans="1:16" x14ac:dyDescent="0.2">
      <c r="A5" t="s">
        <v>37</v>
      </c>
      <c r="B5">
        <v>56</v>
      </c>
      <c r="C5" t="s">
        <v>17</v>
      </c>
      <c r="D5" t="s">
        <v>38</v>
      </c>
      <c r="E5" t="s">
        <v>39</v>
      </c>
      <c r="F5" t="s">
        <v>20</v>
      </c>
      <c r="G5" t="s">
        <v>21</v>
      </c>
      <c r="H5" t="s">
        <v>40</v>
      </c>
      <c r="I5">
        <v>13.4</v>
      </c>
      <c r="J5">
        <v>33</v>
      </c>
      <c r="K5">
        <v>16200</v>
      </c>
      <c r="L5">
        <v>4</v>
      </c>
      <c r="M5">
        <v>4</v>
      </c>
      <c r="N5" t="s">
        <v>41</v>
      </c>
      <c r="O5" t="s">
        <v>24</v>
      </c>
      <c r="P5" t="s">
        <v>23</v>
      </c>
    </row>
    <row r="6" spans="1:16" x14ac:dyDescent="0.2">
      <c r="A6" t="s">
        <v>42</v>
      </c>
      <c r="B6">
        <v>50</v>
      </c>
      <c r="C6" t="s">
        <v>43</v>
      </c>
      <c r="D6" t="s">
        <v>38</v>
      </c>
      <c r="E6" t="s">
        <v>44</v>
      </c>
      <c r="F6" t="s">
        <v>34</v>
      </c>
      <c r="G6" t="s">
        <v>45</v>
      </c>
      <c r="H6" t="s">
        <v>46</v>
      </c>
      <c r="I6">
        <v>7.8</v>
      </c>
      <c r="J6">
        <v>24</v>
      </c>
      <c r="K6">
        <v>19100</v>
      </c>
      <c r="L6">
        <v>3</v>
      </c>
      <c r="M6">
        <v>4</v>
      </c>
      <c r="N6" t="s">
        <v>23</v>
      </c>
      <c r="O6" t="s">
        <v>36</v>
      </c>
      <c r="P6" t="s">
        <v>23</v>
      </c>
    </row>
    <row r="7" spans="1:16" x14ac:dyDescent="0.2">
      <c r="A7" t="s">
        <v>47</v>
      </c>
      <c r="B7">
        <v>45</v>
      </c>
      <c r="C7" t="s">
        <v>48</v>
      </c>
      <c r="D7" t="s">
        <v>26</v>
      </c>
      <c r="E7" t="s">
        <v>49</v>
      </c>
      <c r="F7" t="s">
        <v>50</v>
      </c>
      <c r="G7" t="s">
        <v>51</v>
      </c>
      <c r="H7" t="s">
        <v>52</v>
      </c>
      <c r="I7">
        <v>13.7</v>
      </c>
      <c r="J7">
        <v>22</v>
      </c>
      <c r="K7">
        <v>20800</v>
      </c>
      <c r="L7">
        <v>2</v>
      </c>
      <c r="M7">
        <v>3</v>
      </c>
      <c r="N7" t="s">
        <v>23</v>
      </c>
      <c r="O7" t="s">
        <v>24</v>
      </c>
      <c r="P7" t="s">
        <v>23</v>
      </c>
    </row>
    <row r="8" spans="1:16" x14ac:dyDescent="0.2">
      <c r="A8" t="s">
        <v>53</v>
      </c>
      <c r="B8">
        <v>57</v>
      </c>
      <c r="C8" t="s">
        <v>48</v>
      </c>
      <c r="D8" t="s">
        <v>54</v>
      </c>
      <c r="E8" t="s">
        <v>55</v>
      </c>
      <c r="F8" t="s">
        <v>34</v>
      </c>
      <c r="G8" t="s">
        <v>56</v>
      </c>
      <c r="H8" t="s">
        <v>57</v>
      </c>
      <c r="I8">
        <v>6.8</v>
      </c>
      <c r="J8">
        <v>31</v>
      </c>
      <c r="K8">
        <v>14900</v>
      </c>
      <c r="L8">
        <v>3</v>
      </c>
      <c r="M8">
        <v>5</v>
      </c>
      <c r="N8" t="s">
        <v>23</v>
      </c>
      <c r="O8" t="s">
        <v>24</v>
      </c>
      <c r="P8" t="s">
        <v>23</v>
      </c>
    </row>
    <row r="9" spans="1:16" x14ac:dyDescent="0.2">
      <c r="A9" t="s">
        <v>58</v>
      </c>
      <c r="B9">
        <v>44</v>
      </c>
      <c r="C9" t="s">
        <v>31</v>
      </c>
      <c r="D9" t="s">
        <v>38</v>
      </c>
      <c r="E9" t="s">
        <v>59</v>
      </c>
      <c r="F9" t="s">
        <v>34</v>
      </c>
      <c r="G9" t="s">
        <v>21</v>
      </c>
      <c r="H9" t="s">
        <v>60</v>
      </c>
      <c r="I9">
        <v>3</v>
      </c>
      <c r="J9">
        <v>22</v>
      </c>
      <c r="K9">
        <v>27300</v>
      </c>
      <c r="L9">
        <v>2</v>
      </c>
      <c r="M9">
        <v>2</v>
      </c>
      <c r="N9" t="s">
        <v>41</v>
      </c>
      <c r="O9" t="s">
        <v>36</v>
      </c>
      <c r="P9" t="s">
        <v>23</v>
      </c>
    </row>
    <row r="10" spans="1:16" x14ac:dyDescent="0.2">
      <c r="A10" t="s">
        <v>61</v>
      </c>
      <c r="B10">
        <v>59</v>
      </c>
      <c r="C10" t="s">
        <v>48</v>
      </c>
      <c r="D10" t="s">
        <v>38</v>
      </c>
      <c r="E10" t="s">
        <v>59</v>
      </c>
      <c r="F10" t="s">
        <v>34</v>
      </c>
      <c r="G10" t="s">
        <v>51</v>
      </c>
      <c r="H10" t="s">
        <v>62</v>
      </c>
      <c r="I10">
        <v>11.3</v>
      </c>
      <c r="J10">
        <v>35</v>
      </c>
      <c r="K10">
        <v>29900</v>
      </c>
      <c r="L10">
        <v>5</v>
      </c>
      <c r="M10">
        <v>1</v>
      </c>
      <c r="N10" t="s">
        <v>23</v>
      </c>
      <c r="O10" t="s">
        <v>36</v>
      </c>
      <c r="P10" t="s">
        <v>23</v>
      </c>
    </row>
    <row r="11" spans="1:16" x14ac:dyDescent="0.2">
      <c r="A11" t="s">
        <v>63</v>
      </c>
      <c r="B11">
        <v>48</v>
      </c>
      <c r="C11" t="s">
        <v>43</v>
      </c>
      <c r="D11" t="s">
        <v>54</v>
      </c>
      <c r="E11" t="s">
        <v>64</v>
      </c>
      <c r="F11" t="s">
        <v>20</v>
      </c>
      <c r="G11" t="s">
        <v>51</v>
      </c>
      <c r="H11" t="s">
        <v>65</v>
      </c>
      <c r="I11">
        <v>9.8000000000000007</v>
      </c>
      <c r="J11">
        <v>26</v>
      </c>
      <c r="K11">
        <v>14000</v>
      </c>
      <c r="L11">
        <v>5</v>
      </c>
      <c r="M11">
        <v>4</v>
      </c>
      <c r="N11" t="s">
        <v>23</v>
      </c>
      <c r="O11" t="s">
        <v>24</v>
      </c>
      <c r="P11" t="s">
        <v>23</v>
      </c>
    </row>
    <row r="12" spans="1:16" x14ac:dyDescent="0.2">
      <c r="A12" t="s">
        <v>66</v>
      </c>
      <c r="B12">
        <v>59</v>
      </c>
      <c r="C12" t="s">
        <v>17</v>
      </c>
      <c r="D12" t="s">
        <v>26</v>
      </c>
      <c r="E12" t="s">
        <v>67</v>
      </c>
      <c r="F12" t="s">
        <v>20</v>
      </c>
      <c r="G12" t="s">
        <v>28</v>
      </c>
      <c r="H12" t="s">
        <v>68</v>
      </c>
      <c r="I12">
        <v>10.5</v>
      </c>
      <c r="J12">
        <v>36</v>
      </c>
      <c r="K12">
        <v>12700</v>
      </c>
      <c r="L12">
        <v>5</v>
      </c>
      <c r="M12">
        <v>5</v>
      </c>
      <c r="N12" t="s">
        <v>23</v>
      </c>
      <c r="O12" t="s">
        <v>24</v>
      </c>
      <c r="P12" t="s">
        <v>41</v>
      </c>
    </row>
    <row r="13" spans="1:16" x14ac:dyDescent="0.2">
      <c r="A13" t="s">
        <v>69</v>
      </c>
      <c r="B13">
        <v>29</v>
      </c>
      <c r="C13" t="s">
        <v>43</v>
      </c>
      <c r="D13" t="s">
        <v>54</v>
      </c>
      <c r="E13" t="s">
        <v>55</v>
      </c>
      <c r="F13" t="s">
        <v>34</v>
      </c>
      <c r="G13" t="s">
        <v>51</v>
      </c>
      <c r="H13" t="s">
        <v>70</v>
      </c>
      <c r="I13">
        <v>2.6</v>
      </c>
      <c r="J13">
        <v>3</v>
      </c>
      <c r="K13">
        <v>7800</v>
      </c>
      <c r="L13">
        <v>3</v>
      </c>
      <c r="M13">
        <v>5</v>
      </c>
      <c r="N13" t="s">
        <v>23</v>
      </c>
      <c r="O13" t="s">
        <v>24</v>
      </c>
      <c r="P13" t="s">
        <v>23</v>
      </c>
    </row>
    <row r="14" spans="1:16" x14ac:dyDescent="0.2">
      <c r="A14" t="s">
        <v>71</v>
      </c>
      <c r="B14">
        <v>49</v>
      </c>
      <c r="C14" t="s">
        <v>17</v>
      </c>
      <c r="D14" t="s">
        <v>38</v>
      </c>
      <c r="E14" t="s">
        <v>44</v>
      </c>
      <c r="F14" t="s">
        <v>34</v>
      </c>
      <c r="G14" t="s">
        <v>21</v>
      </c>
      <c r="H14" t="s">
        <v>72</v>
      </c>
      <c r="I14">
        <v>9.6999999999999993</v>
      </c>
      <c r="J14">
        <v>24</v>
      </c>
      <c r="K14">
        <v>18600</v>
      </c>
      <c r="L14">
        <v>2</v>
      </c>
      <c r="M14">
        <v>3</v>
      </c>
      <c r="N14" t="s">
        <v>23</v>
      </c>
      <c r="O14" t="s">
        <v>24</v>
      </c>
      <c r="P14" t="s">
        <v>23</v>
      </c>
    </row>
    <row r="15" spans="1:16" x14ac:dyDescent="0.2">
      <c r="A15" t="s">
        <v>73</v>
      </c>
      <c r="B15">
        <v>23</v>
      </c>
      <c r="C15" t="s">
        <v>31</v>
      </c>
      <c r="D15" t="s">
        <v>26</v>
      </c>
      <c r="E15" t="s">
        <v>67</v>
      </c>
      <c r="F15" t="s">
        <v>20</v>
      </c>
      <c r="G15" t="s">
        <v>28</v>
      </c>
      <c r="H15" t="s">
        <v>74</v>
      </c>
      <c r="I15">
        <v>0.5</v>
      </c>
      <c r="J15">
        <v>0</v>
      </c>
      <c r="K15">
        <v>7900</v>
      </c>
      <c r="L15">
        <v>3</v>
      </c>
      <c r="M15">
        <v>4</v>
      </c>
      <c r="N15" t="s">
        <v>41</v>
      </c>
      <c r="O15" t="s">
        <v>24</v>
      </c>
      <c r="P15" t="s">
        <v>23</v>
      </c>
    </row>
    <row r="16" spans="1:16" x14ac:dyDescent="0.2">
      <c r="A16" t="s">
        <v>75</v>
      </c>
      <c r="B16">
        <v>27</v>
      </c>
      <c r="C16" t="s">
        <v>17</v>
      </c>
      <c r="D16" t="s">
        <v>38</v>
      </c>
      <c r="E16" t="s">
        <v>76</v>
      </c>
      <c r="F16" t="s">
        <v>50</v>
      </c>
      <c r="G16" t="s">
        <v>51</v>
      </c>
      <c r="H16" t="s">
        <v>77</v>
      </c>
      <c r="I16">
        <v>4.7</v>
      </c>
      <c r="J16">
        <v>6</v>
      </c>
      <c r="K16">
        <v>16100</v>
      </c>
      <c r="L16">
        <v>3</v>
      </c>
      <c r="M16">
        <v>5</v>
      </c>
      <c r="N16" t="s">
        <v>41</v>
      </c>
      <c r="O16" t="s">
        <v>36</v>
      </c>
      <c r="P16" t="s">
        <v>23</v>
      </c>
    </row>
    <row r="17" spans="1:16" x14ac:dyDescent="0.2">
      <c r="A17" t="s">
        <v>78</v>
      </c>
      <c r="B17">
        <v>33</v>
      </c>
      <c r="C17" t="s">
        <v>17</v>
      </c>
      <c r="D17" t="s">
        <v>54</v>
      </c>
      <c r="E17" t="s">
        <v>55</v>
      </c>
      <c r="F17" t="s">
        <v>20</v>
      </c>
      <c r="G17" t="s">
        <v>56</v>
      </c>
      <c r="H17" t="s">
        <v>79</v>
      </c>
      <c r="I17">
        <v>11.5</v>
      </c>
      <c r="J17">
        <v>11</v>
      </c>
      <c r="K17">
        <v>9200</v>
      </c>
      <c r="L17">
        <v>3</v>
      </c>
      <c r="M17">
        <v>3</v>
      </c>
      <c r="N17" t="s">
        <v>41</v>
      </c>
      <c r="O17" t="s">
        <v>80</v>
      </c>
      <c r="P17" t="s">
        <v>23</v>
      </c>
    </row>
    <row r="18" spans="1:16" x14ac:dyDescent="0.2">
      <c r="A18" t="s">
        <v>81</v>
      </c>
      <c r="B18">
        <v>36</v>
      </c>
      <c r="C18" t="s">
        <v>48</v>
      </c>
      <c r="D18" t="s">
        <v>54</v>
      </c>
      <c r="E18" t="s">
        <v>82</v>
      </c>
      <c r="F18" t="s">
        <v>50</v>
      </c>
      <c r="G18" t="s">
        <v>51</v>
      </c>
      <c r="H18" t="s">
        <v>83</v>
      </c>
      <c r="I18">
        <v>8.8000000000000007</v>
      </c>
      <c r="J18">
        <v>14</v>
      </c>
      <c r="K18">
        <v>9800</v>
      </c>
      <c r="L18">
        <v>2</v>
      </c>
      <c r="M18">
        <v>3</v>
      </c>
      <c r="N18" t="s">
        <v>41</v>
      </c>
      <c r="O18" t="s">
        <v>24</v>
      </c>
      <c r="P18" t="s">
        <v>23</v>
      </c>
    </row>
    <row r="19" spans="1:16" x14ac:dyDescent="0.2">
      <c r="A19" t="s">
        <v>84</v>
      </c>
      <c r="B19">
        <v>30</v>
      </c>
      <c r="C19" t="s">
        <v>43</v>
      </c>
      <c r="D19" t="s">
        <v>38</v>
      </c>
      <c r="E19" t="s">
        <v>59</v>
      </c>
      <c r="F19" t="s">
        <v>20</v>
      </c>
      <c r="G19" t="s">
        <v>56</v>
      </c>
      <c r="H19" t="s">
        <v>85</v>
      </c>
      <c r="I19">
        <v>3.2</v>
      </c>
      <c r="J19">
        <v>8</v>
      </c>
      <c r="K19">
        <v>23000</v>
      </c>
      <c r="L19">
        <v>4</v>
      </c>
      <c r="M19">
        <v>4</v>
      </c>
      <c r="N19" t="s">
        <v>23</v>
      </c>
      <c r="O19" t="s">
        <v>24</v>
      </c>
      <c r="P19" t="s">
        <v>23</v>
      </c>
    </row>
    <row r="20" spans="1:16" x14ac:dyDescent="0.2">
      <c r="A20" t="s">
        <v>86</v>
      </c>
      <c r="B20">
        <v>25</v>
      </c>
      <c r="C20" t="s">
        <v>17</v>
      </c>
      <c r="D20" t="s">
        <v>54</v>
      </c>
      <c r="E20" t="s">
        <v>55</v>
      </c>
      <c r="F20" t="s">
        <v>50</v>
      </c>
      <c r="G20" t="s">
        <v>56</v>
      </c>
      <c r="H20" t="s">
        <v>87</v>
      </c>
      <c r="I20">
        <v>0.2</v>
      </c>
      <c r="J20">
        <v>0</v>
      </c>
      <c r="K20">
        <v>7600</v>
      </c>
      <c r="L20">
        <v>3</v>
      </c>
      <c r="M20">
        <v>5</v>
      </c>
      <c r="N20" t="s">
        <v>23</v>
      </c>
      <c r="O20" t="s">
        <v>36</v>
      </c>
      <c r="P20" t="s">
        <v>41</v>
      </c>
    </row>
    <row r="21" spans="1:16" x14ac:dyDescent="0.2">
      <c r="A21" t="s">
        <v>88</v>
      </c>
      <c r="B21">
        <v>37</v>
      </c>
      <c r="C21" t="s">
        <v>17</v>
      </c>
      <c r="D21" t="s">
        <v>89</v>
      </c>
      <c r="E21" t="s">
        <v>90</v>
      </c>
      <c r="F21" t="s">
        <v>20</v>
      </c>
      <c r="G21" t="s">
        <v>28</v>
      </c>
      <c r="H21" t="s">
        <v>91</v>
      </c>
      <c r="I21">
        <v>14.3</v>
      </c>
      <c r="J21">
        <v>15</v>
      </c>
      <c r="K21">
        <v>12200</v>
      </c>
      <c r="L21">
        <v>3</v>
      </c>
      <c r="M21">
        <v>3</v>
      </c>
      <c r="N21" t="s">
        <v>23</v>
      </c>
      <c r="O21" t="s">
        <v>24</v>
      </c>
      <c r="P21" t="s">
        <v>23</v>
      </c>
    </row>
    <row r="22" spans="1:16" x14ac:dyDescent="0.2">
      <c r="A22" t="s">
        <v>92</v>
      </c>
      <c r="B22">
        <v>25</v>
      </c>
      <c r="C22" t="s">
        <v>31</v>
      </c>
      <c r="D22" t="s">
        <v>89</v>
      </c>
      <c r="E22" t="s">
        <v>93</v>
      </c>
      <c r="F22" t="s">
        <v>34</v>
      </c>
      <c r="G22" t="s">
        <v>51</v>
      </c>
      <c r="H22" t="s">
        <v>94</v>
      </c>
      <c r="I22">
        <v>0.3</v>
      </c>
      <c r="J22">
        <v>0</v>
      </c>
      <c r="K22">
        <v>6400</v>
      </c>
      <c r="L22">
        <v>2</v>
      </c>
      <c r="M22">
        <v>3</v>
      </c>
      <c r="N22" t="s">
        <v>41</v>
      </c>
      <c r="O22" t="s">
        <v>24</v>
      </c>
      <c r="P22" t="s">
        <v>23</v>
      </c>
    </row>
    <row r="23" spans="1:16" x14ac:dyDescent="0.2">
      <c r="A23" t="s">
        <v>95</v>
      </c>
      <c r="B23">
        <v>56</v>
      </c>
      <c r="C23" t="s">
        <v>43</v>
      </c>
      <c r="D23" t="s">
        <v>89</v>
      </c>
      <c r="E23" t="s">
        <v>93</v>
      </c>
      <c r="F23" t="s">
        <v>34</v>
      </c>
      <c r="G23" t="s">
        <v>51</v>
      </c>
      <c r="H23" t="s">
        <v>96</v>
      </c>
      <c r="I23">
        <v>14.2</v>
      </c>
      <c r="J23">
        <v>33</v>
      </c>
      <c r="K23">
        <v>11800</v>
      </c>
      <c r="L23">
        <v>3</v>
      </c>
      <c r="M23">
        <v>5</v>
      </c>
      <c r="N23" t="s">
        <v>23</v>
      </c>
      <c r="O23" t="s">
        <v>24</v>
      </c>
      <c r="P23" t="s">
        <v>23</v>
      </c>
    </row>
    <row r="24" spans="1:16" x14ac:dyDescent="0.2">
      <c r="A24" t="s">
        <v>97</v>
      </c>
      <c r="B24">
        <v>53</v>
      </c>
      <c r="C24" t="s">
        <v>48</v>
      </c>
      <c r="D24" t="s">
        <v>26</v>
      </c>
      <c r="E24" t="s">
        <v>98</v>
      </c>
      <c r="F24" t="s">
        <v>20</v>
      </c>
      <c r="G24" t="s">
        <v>28</v>
      </c>
      <c r="H24" t="s">
        <v>99</v>
      </c>
      <c r="I24">
        <v>5.4</v>
      </c>
      <c r="J24">
        <v>29</v>
      </c>
      <c r="K24">
        <v>14400</v>
      </c>
      <c r="L24">
        <v>2</v>
      </c>
      <c r="M24">
        <v>3</v>
      </c>
      <c r="N24" t="s">
        <v>41</v>
      </c>
      <c r="O24" t="s">
        <v>24</v>
      </c>
      <c r="P24" t="s">
        <v>23</v>
      </c>
    </row>
    <row r="25" spans="1:16" x14ac:dyDescent="0.2">
      <c r="A25" t="s">
        <v>100</v>
      </c>
      <c r="B25">
        <v>56</v>
      </c>
      <c r="C25" t="s">
        <v>48</v>
      </c>
      <c r="D25" t="s">
        <v>89</v>
      </c>
      <c r="E25" t="s">
        <v>101</v>
      </c>
      <c r="F25" t="s">
        <v>50</v>
      </c>
      <c r="G25" t="s">
        <v>21</v>
      </c>
      <c r="H25" t="s">
        <v>102</v>
      </c>
      <c r="I25">
        <v>2.4</v>
      </c>
      <c r="J25">
        <v>35</v>
      </c>
      <c r="K25">
        <v>20300</v>
      </c>
      <c r="L25">
        <v>3</v>
      </c>
      <c r="M25">
        <v>4</v>
      </c>
      <c r="N25" t="s">
        <v>23</v>
      </c>
      <c r="O25" t="s">
        <v>24</v>
      </c>
      <c r="P25" t="s">
        <v>23</v>
      </c>
    </row>
    <row r="26" spans="1:16" x14ac:dyDescent="0.2">
      <c r="A26" t="s">
        <v>103</v>
      </c>
      <c r="B26">
        <v>36</v>
      </c>
      <c r="C26" t="s">
        <v>43</v>
      </c>
      <c r="D26" t="s">
        <v>32</v>
      </c>
      <c r="E26" t="s">
        <v>104</v>
      </c>
      <c r="F26" t="s">
        <v>20</v>
      </c>
      <c r="G26" t="s">
        <v>28</v>
      </c>
      <c r="H26" t="s">
        <v>105</v>
      </c>
      <c r="I26">
        <v>2.2000000000000002</v>
      </c>
      <c r="J26">
        <v>10</v>
      </c>
      <c r="K26">
        <v>14500</v>
      </c>
      <c r="L26">
        <v>5</v>
      </c>
      <c r="M26">
        <v>3</v>
      </c>
      <c r="N26" t="s">
        <v>23</v>
      </c>
      <c r="O26" t="s">
        <v>24</v>
      </c>
      <c r="P26" t="s">
        <v>23</v>
      </c>
    </row>
    <row r="27" spans="1:16" x14ac:dyDescent="0.2">
      <c r="A27" t="s">
        <v>106</v>
      </c>
      <c r="B27">
        <v>42</v>
      </c>
      <c r="C27" t="s">
        <v>17</v>
      </c>
      <c r="D27" t="s">
        <v>54</v>
      </c>
      <c r="E27" t="s">
        <v>55</v>
      </c>
      <c r="F27" t="s">
        <v>50</v>
      </c>
      <c r="G27" t="s">
        <v>45</v>
      </c>
      <c r="H27" t="s">
        <v>107</v>
      </c>
      <c r="I27">
        <v>8.8000000000000007</v>
      </c>
      <c r="J27">
        <v>15</v>
      </c>
      <c r="K27">
        <v>12000</v>
      </c>
      <c r="L27">
        <v>5</v>
      </c>
      <c r="M27">
        <v>4</v>
      </c>
      <c r="N27" t="s">
        <v>41</v>
      </c>
      <c r="O27" t="s">
        <v>36</v>
      </c>
      <c r="P27" t="s">
        <v>41</v>
      </c>
    </row>
    <row r="28" spans="1:16" x14ac:dyDescent="0.2">
      <c r="A28" t="s">
        <v>108</v>
      </c>
      <c r="B28">
        <v>43</v>
      </c>
      <c r="C28" t="s">
        <v>48</v>
      </c>
      <c r="D28" t="s">
        <v>26</v>
      </c>
      <c r="E28" t="s">
        <v>49</v>
      </c>
      <c r="F28" t="s">
        <v>34</v>
      </c>
      <c r="G28" t="s">
        <v>56</v>
      </c>
      <c r="H28" t="s">
        <v>109</v>
      </c>
      <c r="I28">
        <v>4.9000000000000004</v>
      </c>
      <c r="J28">
        <v>20</v>
      </c>
      <c r="K28">
        <v>18200</v>
      </c>
      <c r="L28">
        <v>4</v>
      </c>
      <c r="M28">
        <v>3</v>
      </c>
      <c r="N28" t="s">
        <v>41</v>
      </c>
      <c r="O28" t="s">
        <v>24</v>
      </c>
      <c r="P28" t="s">
        <v>23</v>
      </c>
    </row>
    <row r="29" spans="1:16" x14ac:dyDescent="0.2">
      <c r="A29" t="s">
        <v>110</v>
      </c>
      <c r="B29">
        <v>22</v>
      </c>
      <c r="C29" t="s">
        <v>48</v>
      </c>
      <c r="D29" t="s">
        <v>38</v>
      </c>
      <c r="E29" t="s">
        <v>44</v>
      </c>
      <c r="F29" t="s">
        <v>50</v>
      </c>
      <c r="G29" t="s">
        <v>56</v>
      </c>
      <c r="H29" t="s">
        <v>111</v>
      </c>
      <c r="I29">
        <v>0.8</v>
      </c>
      <c r="J29">
        <v>1</v>
      </c>
      <c r="K29">
        <v>15900</v>
      </c>
      <c r="L29">
        <v>5</v>
      </c>
      <c r="M29">
        <v>3</v>
      </c>
      <c r="N29" t="s">
        <v>41</v>
      </c>
      <c r="O29" t="s">
        <v>24</v>
      </c>
      <c r="P29" t="s">
        <v>23</v>
      </c>
    </row>
    <row r="30" spans="1:16" x14ac:dyDescent="0.2">
      <c r="A30" t="s">
        <v>112</v>
      </c>
      <c r="B30">
        <v>45</v>
      </c>
      <c r="C30" t="s">
        <v>43</v>
      </c>
      <c r="D30" t="s">
        <v>89</v>
      </c>
      <c r="E30" t="s">
        <v>93</v>
      </c>
      <c r="F30" t="s">
        <v>50</v>
      </c>
      <c r="G30" t="s">
        <v>28</v>
      </c>
      <c r="H30" t="s">
        <v>113</v>
      </c>
      <c r="I30">
        <v>4.0999999999999996</v>
      </c>
      <c r="J30">
        <v>20</v>
      </c>
      <c r="K30">
        <v>9100</v>
      </c>
      <c r="L30">
        <v>4</v>
      </c>
      <c r="M30">
        <v>1</v>
      </c>
      <c r="N30" t="s">
        <v>23</v>
      </c>
      <c r="O30" t="s">
        <v>24</v>
      </c>
      <c r="P30" t="s">
        <v>23</v>
      </c>
    </row>
    <row r="31" spans="1:16" x14ac:dyDescent="0.2">
      <c r="A31" t="s">
        <v>114</v>
      </c>
      <c r="B31">
        <v>60</v>
      </c>
      <c r="C31" t="s">
        <v>48</v>
      </c>
      <c r="D31" t="s">
        <v>54</v>
      </c>
      <c r="E31" t="s">
        <v>64</v>
      </c>
      <c r="F31" t="s">
        <v>34</v>
      </c>
      <c r="G31" t="s">
        <v>45</v>
      </c>
      <c r="H31" t="s">
        <v>115</v>
      </c>
      <c r="I31">
        <v>14.2</v>
      </c>
      <c r="J31">
        <v>37</v>
      </c>
      <c r="K31">
        <v>15400</v>
      </c>
      <c r="L31">
        <v>4</v>
      </c>
      <c r="M31">
        <v>3</v>
      </c>
      <c r="N31" t="s">
        <v>23</v>
      </c>
      <c r="O31" t="s">
        <v>24</v>
      </c>
      <c r="P31" t="s">
        <v>23</v>
      </c>
    </row>
    <row r="32" spans="1:16" x14ac:dyDescent="0.2">
      <c r="A32" t="s">
        <v>116</v>
      </c>
      <c r="B32">
        <v>45</v>
      </c>
      <c r="C32" t="s">
        <v>48</v>
      </c>
      <c r="D32" t="s">
        <v>26</v>
      </c>
      <c r="E32" t="s">
        <v>49</v>
      </c>
      <c r="F32" t="s">
        <v>50</v>
      </c>
      <c r="G32" t="s">
        <v>28</v>
      </c>
      <c r="H32" t="s">
        <v>117</v>
      </c>
      <c r="I32">
        <v>3.8</v>
      </c>
      <c r="J32">
        <v>19</v>
      </c>
      <c r="K32">
        <v>20300</v>
      </c>
      <c r="L32">
        <v>3</v>
      </c>
      <c r="M32">
        <v>4</v>
      </c>
      <c r="N32" t="s">
        <v>41</v>
      </c>
      <c r="O32" t="s">
        <v>24</v>
      </c>
      <c r="P32" t="s">
        <v>23</v>
      </c>
    </row>
    <row r="33" spans="1:16" x14ac:dyDescent="0.2">
      <c r="A33" t="s">
        <v>118</v>
      </c>
      <c r="B33">
        <v>53</v>
      </c>
      <c r="C33" t="s">
        <v>43</v>
      </c>
      <c r="D33" t="s">
        <v>38</v>
      </c>
      <c r="E33" t="s">
        <v>76</v>
      </c>
      <c r="F33" t="s">
        <v>34</v>
      </c>
      <c r="G33" t="s">
        <v>51</v>
      </c>
      <c r="H33" t="s">
        <v>119</v>
      </c>
      <c r="I33">
        <v>3.7</v>
      </c>
      <c r="J33">
        <v>29</v>
      </c>
      <c r="K33">
        <v>18900</v>
      </c>
      <c r="L33">
        <v>3</v>
      </c>
      <c r="M33">
        <v>4</v>
      </c>
      <c r="N33" t="s">
        <v>23</v>
      </c>
      <c r="O33" t="s">
        <v>24</v>
      </c>
      <c r="P33" t="s">
        <v>23</v>
      </c>
    </row>
    <row r="34" spans="1:16" x14ac:dyDescent="0.2">
      <c r="A34" t="s">
        <v>120</v>
      </c>
      <c r="B34">
        <v>30</v>
      </c>
      <c r="C34" t="s">
        <v>31</v>
      </c>
      <c r="D34" t="s">
        <v>26</v>
      </c>
      <c r="E34" t="s">
        <v>27</v>
      </c>
      <c r="F34" t="s">
        <v>50</v>
      </c>
      <c r="G34" t="s">
        <v>28</v>
      </c>
      <c r="H34" t="s">
        <v>121</v>
      </c>
      <c r="I34">
        <v>0.5</v>
      </c>
      <c r="J34">
        <v>9</v>
      </c>
      <c r="K34">
        <v>18100</v>
      </c>
      <c r="L34">
        <v>4</v>
      </c>
      <c r="M34">
        <v>4</v>
      </c>
      <c r="N34" t="s">
        <v>23</v>
      </c>
      <c r="O34" t="s">
        <v>36</v>
      </c>
      <c r="P34" t="s">
        <v>23</v>
      </c>
    </row>
    <row r="35" spans="1:16" x14ac:dyDescent="0.2">
      <c r="A35" t="s">
        <v>122</v>
      </c>
      <c r="B35">
        <v>21</v>
      </c>
      <c r="C35" t="s">
        <v>17</v>
      </c>
      <c r="D35" t="s">
        <v>26</v>
      </c>
      <c r="E35" t="s">
        <v>27</v>
      </c>
      <c r="F35" t="s">
        <v>50</v>
      </c>
      <c r="G35" t="s">
        <v>45</v>
      </c>
      <c r="H35" t="s">
        <v>123</v>
      </c>
      <c r="I35">
        <v>0.2</v>
      </c>
      <c r="J35">
        <v>0</v>
      </c>
      <c r="K35">
        <v>16300</v>
      </c>
      <c r="L35">
        <v>2</v>
      </c>
      <c r="M35">
        <v>4</v>
      </c>
      <c r="N35" t="s">
        <v>23</v>
      </c>
      <c r="O35" t="s">
        <v>24</v>
      </c>
      <c r="P35" t="s">
        <v>23</v>
      </c>
    </row>
    <row r="36" spans="1:16" x14ac:dyDescent="0.2">
      <c r="A36" t="s">
        <v>124</v>
      </c>
      <c r="B36">
        <v>49</v>
      </c>
      <c r="C36" t="s">
        <v>48</v>
      </c>
      <c r="D36" t="s">
        <v>38</v>
      </c>
      <c r="E36" t="s">
        <v>44</v>
      </c>
      <c r="F36" t="s">
        <v>34</v>
      </c>
      <c r="G36" t="s">
        <v>28</v>
      </c>
      <c r="H36" t="s">
        <v>125</v>
      </c>
      <c r="I36">
        <v>10.8</v>
      </c>
      <c r="J36">
        <v>24</v>
      </c>
      <c r="K36">
        <v>19900</v>
      </c>
      <c r="L36">
        <v>3</v>
      </c>
      <c r="M36">
        <v>2</v>
      </c>
      <c r="N36" t="s">
        <v>23</v>
      </c>
      <c r="O36" t="s">
        <v>24</v>
      </c>
      <c r="P36" t="s">
        <v>23</v>
      </c>
    </row>
    <row r="37" spans="1:16" x14ac:dyDescent="0.2">
      <c r="A37" t="s">
        <v>126</v>
      </c>
      <c r="B37">
        <v>38</v>
      </c>
      <c r="C37" t="s">
        <v>31</v>
      </c>
      <c r="D37" t="s">
        <v>18</v>
      </c>
      <c r="E37" t="s">
        <v>127</v>
      </c>
      <c r="F37" t="s">
        <v>34</v>
      </c>
      <c r="G37" t="s">
        <v>45</v>
      </c>
      <c r="H37" t="s">
        <v>128</v>
      </c>
      <c r="I37">
        <v>1.7</v>
      </c>
      <c r="J37">
        <v>14</v>
      </c>
      <c r="K37">
        <v>9500</v>
      </c>
      <c r="L37">
        <v>3</v>
      </c>
      <c r="M37">
        <v>3</v>
      </c>
      <c r="N37" t="s">
        <v>23</v>
      </c>
      <c r="O37" t="s">
        <v>24</v>
      </c>
      <c r="P37" t="s">
        <v>23</v>
      </c>
    </row>
    <row r="38" spans="1:16" x14ac:dyDescent="0.2">
      <c r="A38" t="s">
        <v>129</v>
      </c>
      <c r="B38">
        <v>25</v>
      </c>
      <c r="C38" t="s">
        <v>17</v>
      </c>
      <c r="D38" t="s">
        <v>18</v>
      </c>
      <c r="E38" t="s">
        <v>127</v>
      </c>
      <c r="F38" t="s">
        <v>34</v>
      </c>
      <c r="G38" t="s">
        <v>28</v>
      </c>
      <c r="H38" t="s">
        <v>130</v>
      </c>
      <c r="I38">
        <v>1.2</v>
      </c>
      <c r="J38">
        <v>1</v>
      </c>
      <c r="K38">
        <v>8200</v>
      </c>
      <c r="L38">
        <v>3</v>
      </c>
      <c r="M38">
        <v>2</v>
      </c>
      <c r="N38" t="s">
        <v>23</v>
      </c>
      <c r="O38" t="s">
        <v>24</v>
      </c>
      <c r="P38" t="s">
        <v>23</v>
      </c>
    </row>
    <row r="39" spans="1:16" x14ac:dyDescent="0.2">
      <c r="A39" t="s">
        <v>131</v>
      </c>
      <c r="B39">
        <v>43</v>
      </c>
      <c r="C39" t="s">
        <v>48</v>
      </c>
      <c r="D39" t="s">
        <v>38</v>
      </c>
      <c r="E39" t="s">
        <v>39</v>
      </c>
      <c r="F39" t="s">
        <v>50</v>
      </c>
      <c r="G39" t="s">
        <v>28</v>
      </c>
      <c r="H39" t="s">
        <v>132</v>
      </c>
      <c r="I39">
        <v>8.3000000000000007</v>
      </c>
      <c r="J39">
        <v>20</v>
      </c>
      <c r="K39">
        <v>14100</v>
      </c>
      <c r="L39">
        <v>3</v>
      </c>
      <c r="M39">
        <v>4</v>
      </c>
      <c r="N39" t="s">
        <v>23</v>
      </c>
      <c r="O39" t="s">
        <v>36</v>
      </c>
      <c r="P39" t="s">
        <v>23</v>
      </c>
    </row>
    <row r="40" spans="1:16" x14ac:dyDescent="0.2">
      <c r="A40" t="s">
        <v>133</v>
      </c>
      <c r="B40">
        <v>42</v>
      </c>
      <c r="C40" t="s">
        <v>31</v>
      </c>
      <c r="D40" t="s">
        <v>54</v>
      </c>
      <c r="E40" t="s">
        <v>134</v>
      </c>
      <c r="F40" t="s">
        <v>34</v>
      </c>
      <c r="G40" t="s">
        <v>56</v>
      </c>
      <c r="H40" t="s">
        <v>135</v>
      </c>
      <c r="I40">
        <v>14.5</v>
      </c>
      <c r="J40">
        <v>16</v>
      </c>
      <c r="K40">
        <v>18000</v>
      </c>
      <c r="L40">
        <v>4</v>
      </c>
      <c r="M40">
        <v>4</v>
      </c>
      <c r="N40" t="s">
        <v>23</v>
      </c>
      <c r="O40" t="s">
        <v>80</v>
      </c>
      <c r="P40" t="s">
        <v>23</v>
      </c>
    </row>
    <row r="41" spans="1:16" x14ac:dyDescent="0.2">
      <c r="A41" t="s">
        <v>136</v>
      </c>
      <c r="B41">
        <v>26</v>
      </c>
      <c r="C41" t="s">
        <v>31</v>
      </c>
      <c r="D41" t="s">
        <v>18</v>
      </c>
      <c r="E41" t="s">
        <v>19</v>
      </c>
      <c r="F41" t="s">
        <v>50</v>
      </c>
      <c r="G41" t="s">
        <v>28</v>
      </c>
      <c r="H41" t="s">
        <v>137</v>
      </c>
      <c r="I41">
        <v>0.6</v>
      </c>
      <c r="J41">
        <v>0</v>
      </c>
      <c r="K41">
        <v>7700</v>
      </c>
      <c r="L41">
        <v>2</v>
      </c>
      <c r="M41">
        <v>3</v>
      </c>
      <c r="N41" t="s">
        <v>23</v>
      </c>
      <c r="O41" t="s">
        <v>24</v>
      </c>
      <c r="P41" t="s">
        <v>23</v>
      </c>
    </row>
    <row r="42" spans="1:16" x14ac:dyDescent="0.2">
      <c r="A42" t="s">
        <v>138</v>
      </c>
      <c r="B42">
        <v>51</v>
      </c>
      <c r="C42" t="s">
        <v>43</v>
      </c>
      <c r="D42" t="s">
        <v>32</v>
      </c>
      <c r="E42" t="s">
        <v>139</v>
      </c>
      <c r="F42" t="s">
        <v>20</v>
      </c>
      <c r="G42" t="s">
        <v>21</v>
      </c>
      <c r="H42" t="s">
        <v>140</v>
      </c>
      <c r="I42">
        <v>11.6</v>
      </c>
      <c r="J42">
        <v>30</v>
      </c>
      <c r="K42">
        <v>13600</v>
      </c>
      <c r="L42">
        <v>2</v>
      </c>
      <c r="M42">
        <v>2</v>
      </c>
      <c r="N42" t="s">
        <v>23</v>
      </c>
      <c r="O42" t="s">
        <v>24</v>
      </c>
      <c r="P42" t="s">
        <v>41</v>
      </c>
    </row>
    <row r="43" spans="1:16" x14ac:dyDescent="0.2">
      <c r="A43" t="s">
        <v>141</v>
      </c>
      <c r="B43">
        <v>36</v>
      </c>
      <c r="C43" t="s">
        <v>17</v>
      </c>
      <c r="D43" t="s">
        <v>89</v>
      </c>
      <c r="E43" t="s">
        <v>142</v>
      </c>
      <c r="F43" t="s">
        <v>20</v>
      </c>
      <c r="G43" t="s">
        <v>51</v>
      </c>
      <c r="H43" t="s">
        <v>143</v>
      </c>
      <c r="I43">
        <v>10.199999999999999</v>
      </c>
      <c r="J43">
        <v>14</v>
      </c>
      <c r="K43">
        <v>11200</v>
      </c>
      <c r="L43">
        <v>4</v>
      </c>
      <c r="M43">
        <v>3</v>
      </c>
      <c r="N43" t="s">
        <v>23</v>
      </c>
      <c r="O43" t="s">
        <v>36</v>
      </c>
      <c r="P43" t="s">
        <v>23</v>
      </c>
    </row>
    <row r="44" spans="1:16" x14ac:dyDescent="0.2">
      <c r="A44" t="s">
        <v>144</v>
      </c>
      <c r="B44">
        <v>40</v>
      </c>
      <c r="C44" t="s">
        <v>17</v>
      </c>
      <c r="D44" t="s">
        <v>54</v>
      </c>
      <c r="E44" t="s">
        <v>82</v>
      </c>
      <c r="F44" t="s">
        <v>34</v>
      </c>
      <c r="G44" t="s">
        <v>51</v>
      </c>
      <c r="H44" t="s">
        <v>145</v>
      </c>
      <c r="I44">
        <v>14.5</v>
      </c>
      <c r="J44">
        <v>15</v>
      </c>
      <c r="K44">
        <v>9500</v>
      </c>
      <c r="L44">
        <v>3</v>
      </c>
      <c r="M44">
        <v>4</v>
      </c>
      <c r="N44" t="s">
        <v>41</v>
      </c>
      <c r="O44" t="s">
        <v>36</v>
      </c>
      <c r="P44" t="s">
        <v>23</v>
      </c>
    </row>
    <row r="45" spans="1:16" x14ac:dyDescent="0.2">
      <c r="A45" t="s">
        <v>146</v>
      </c>
      <c r="B45">
        <v>57</v>
      </c>
      <c r="C45" t="s">
        <v>31</v>
      </c>
      <c r="D45" t="s">
        <v>18</v>
      </c>
      <c r="E45" t="s">
        <v>19</v>
      </c>
      <c r="F45" t="s">
        <v>20</v>
      </c>
      <c r="G45" t="s">
        <v>28</v>
      </c>
      <c r="H45" t="s">
        <v>147</v>
      </c>
      <c r="I45">
        <v>0.9</v>
      </c>
      <c r="J45">
        <v>30</v>
      </c>
      <c r="K45">
        <v>13400</v>
      </c>
      <c r="L45">
        <v>3</v>
      </c>
      <c r="M45">
        <v>3</v>
      </c>
      <c r="N45" t="s">
        <v>23</v>
      </c>
      <c r="O45" t="s">
        <v>24</v>
      </c>
      <c r="P45" t="s">
        <v>23</v>
      </c>
    </row>
    <row r="46" spans="1:16" x14ac:dyDescent="0.2">
      <c r="A46" t="s">
        <v>148</v>
      </c>
      <c r="B46">
        <v>30</v>
      </c>
      <c r="C46" t="s">
        <v>31</v>
      </c>
      <c r="D46" t="s">
        <v>32</v>
      </c>
      <c r="E46" t="s">
        <v>149</v>
      </c>
      <c r="F46" t="s">
        <v>34</v>
      </c>
      <c r="G46" t="s">
        <v>56</v>
      </c>
      <c r="H46" t="s">
        <v>150</v>
      </c>
      <c r="I46">
        <v>1.9</v>
      </c>
      <c r="J46">
        <v>6</v>
      </c>
      <c r="K46">
        <v>20000</v>
      </c>
      <c r="L46">
        <v>5</v>
      </c>
      <c r="M46">
        <v>3</v>
      </c>
      <c r="N46" t="s">
        <v>23</v>
      </c>
      <c r="O46" t="s">
        <v>24</v>
      </c>
      <c r="P46" t="s">
        <v>23</v>
      </c>
    </row>
    <row r="47" spans="1:16" x14ac:dyDescent="0.2">
      <c r="A47" t="s">
        <v>151</v>
      </c>
      <c r="B47">
        <v>36</v>
      </c>
      <c r="C47" t="s">
        <v>17</v>
      </c>
      <c r="D47" t="s">
        <v>32</v>
      </c>
      <c r="E47" t="s">
        <v>33</v>
      </c>
      <c r="F47" t="s">
        <v>50</v>
      </c>
      <c r="G47" t="s">
        <v>51</v>
      </c>
      <c r="H47" t="s">
        <v>152</v>
      </c>
      <c r="I47">
        <v>10</v>
      </c>
      <c r="J47">
        <v>9</v>
      </c>
      <c r="K47">
        <v>11200</v>
      </c>
      <c r="L47">
        <v>5</v>
      </c>
      <c r="M47">
        <v>3</v>
      </c>
      <c r="N47" t="s">
        <v>23</v>
      </c>
      <c r="O47" t="s">
        <v>36</v>
      </c>
      <c r="P47" t="s">
        <v>23</v>
      </c>
    </row>
    <row r="48" spans="1:16" x14ac:dyDescent="0.2">
      <c r="A48" t="s">
        <v>153</v>
      </c>
      <c r="B48">
        <v>34</v>
      </c>
      <c r="C48" t="s">
        <v>17</v>
      </c>
      <c r="D48" t="s">
        <v>26</v>
      </c>
      <c r="E48" t="s">
        <v>49</v>
      </c>
      <c r="F48" t="s">
        <v>20</v>
      </c>
      <c r="G48" t="s">
        <v>28</v>
      </c>
      <c r="H48" t="s">
        <v>154</v>
      </c>
      <c r="I48">
        <v>5.6</v>
      </c>
      <c r="J48">
        <v>11</v>
      </c>
      <c r="K48">
        <v>17700</v>
      </c>
      <c r="L48">
        <v>5</v>
      </c>
      <c r="M48">
        <v>4</v>
      </c>
      <c r="N48" t="s">
        <v>41</v>
      </c>
      <c r="O48" t="s">
        <v>24</v>
      </c>
      <c r="P48" t="s">
        <v>23</v>
      </c>
    </row>
    <row r="49" spans="1:16" x14ac:dyDescent="0.2">
      <c r="A49" t="s">
        <v>155</v>
      </c>
      <c r="B49">
        <v>51</v>
      </c>
      <c r="C49" t="s">
        <v>31</v>
      </c>
      <c r="D49" t="s">
        <v>38</v>
      </c>
      <c r="E49" t="s">
        <v>76</v>
      </c>
      <c r="F49" t="s">
        <v>34</v>
      </c>
      <c r="G49" t="s">
        <v>56</v>
      </c>
      <c r="H49" t="s">
        <v>156</v>
      </c>
      <c r="I49">
        <v>10.5</v>
      </c>
      <c r="J49">
        <v>25</v>
      </c>
      <c r="K49">
        <v>17900</v>
      </c>
      <c r="L49">
        <v>2</v>
      </c>
      <c r="M49">
        <v>3</v>
      </c>
      <c r="N49" t="s">
        <v>23</v>
      </c>
      <c r="O49" t="s">
        <v>24</v>
      </c>
      <c r="P49" t="s">
        <v>23</v>
      </c>
    </row>
    <row r="50" spans="1:16" x14ac:dyDescent="0.2">
      <c r="A50" t="s">
        <v>157</v>
      </c>
      <c r="B50">
        <v>56</v>
      </c>
      <c r="C50" t="s">
        <v>43</v>
      </c>
      <c r="D50" t="s">
        <v>32</v>
      </c>
      <c r="E50" t="s">
        <v>149</v>
      </c>
      <c r="F50" t="s">
        <v>20</v>
      </c>
      <c r="G50" t="s">
        <v>45</v>
      </c>
      <c r="H50" t="s">
        <v>158</v>
      </c>
      <c r="I50">
        <v>7.6</v>
      </c>
      <c r="J50">
        <v>33</v>
      </c>
      <c r="K50">
        <v>24600</v>
      </c>
      <c r="L50">
        <v>3</v>
      </c>
      <c r="M50">
        <v>3</v>
      </c>
      <c r="N50" t="s">
        <v>41</v>
      </c>
      <c r="O50" t="s">
        <v>24</v>
      </c>
      <c r="P50" t="s">
        <v>23</v>
      </c>
    </row>
    <row r="51" spans="1:16" x14ac:dyDescent="0.2">
      <c r="A51" t="s">
        <v>159</v>
      </c>
      <c r="B51">
        <v>38</v>
      </c>
      <c r="C51" t="s">
        <v>48</v>
      </c>
      <c r="D51" t="s">
        <v>18</v>
      </c>
      <c r="E51" t="s">
        <v>160</v>
      </c>
      <c r="F51" t="s">
        <v>20</v>
      </c>
      <c r="G51" t="s">
        <v>56</v>
      </c>
      <c r="H51" t="s">
        <v>161</v>
      </c>
      <c r="I51">
        <v>12.6</v>
      </c>
      <c r="J51">
        <v>12</v>
      </c>
      <c r="K51">
        <v>18900</v>
      </c>
      <c r="L51">
        <v>4</v>
      </c>
      <c r="M51">
        <v>5</v>
      </c>
      <c r="N51" t="s">
        <v>23</v>
      </c>
      <c r="O51" t="s">
        <v>24</v>
      </c>
      <c r="P51" t="s">
        <v>23</v>
      </c>
    </row>
    <row r="52" spans="1:16" x14ac:dyDescent="0.2">
      <c r="A52" t="s">
        <v>162</v>
      </c>
      <c r="B52">
        <v>23</v>
      </c>
      <c r="C52" t="s">
        <v>31</v>
      </c>
      <c r="D52" t="s">
        <v>26</v>
      </c>
      <c r="E52" t="s">
        <v>98</v>
      </c>
      <c r="F52" t="s">
        <v>50</v>
      </c>
      <c r="G52" t="s">
        <v>51</v>
      </c>
      <c r="H52" t="s">
        <v>163</v>
      </c>
      <c r="I52">
        <v>3</v>
      </c>
      <c r="J52">
        <v>2</v>
      </c>
      <c r="K52">
        <v>9800</v>
      </c>
      <c r="L52">
        <v>4</v>
      </c>
      <c r="M52">
        <v>4</v>
      </c>
      <c r="N52" t="s">
        <v>41</v>
      </c>
      <c r="O52" t="s">
        <v>24</v>
      </c>
      <c r="P52" t="s">
        <v>23</v>
      </c>
    </row>
    <row r="53" spans="1:16" x14ac:dyDescent="0.2">
      <c r="A53" t="s">
        <v>164</v>
      </c>
      <c r="B53">
        <v>37</v>
      </c>
      <c r="C53" t="s">
        <v>48</v>
      </c>
      <c r="D53" t="s">
        <v>26</v>
      </c>
      <c r="E53" t="s">
        <v>67</v>
      </c>
      <c r="F53" t="s">
        <v>20</v>
      </c>
      <c r="G53" t="s">
        <v>45</v>
      </c>
      <c r="H53" t="s">
        <v>165</v>
      </c>
      <c r="I53">
        <v>10.199999999999999</v>
      </c>
      <c r="J53">
        <v>10</v>
      </c>
      <c r="K53">
        <v>7900</v>
      </c>
      <c r="L53">
        <v>3</v>
      </c>
      <c r="M53">
        <v>2</v>
      </c>
      <c r="N53" t="s">
        <v>23</v>
      </c>
      <c r="O53" t="s">
        <v>24</v>
      </c>
      <c r="P53" t="s">
        <v>23</v>
      </c>
    </row>
    <row r="54" spans="1:16" x14ac:dyDescent="0.2">
      <c r="A54" t="s">
        <v>166</v>
      </c>
      <c r="B54">
        <v>59</v>
      </c>
      <c r="C54" t="s">
        <v>17</v>
      </c>
      <c r="D54" t="s">
        <v>54</v>
      </c>
      <c r="E54" t="s">
        <v>134</v>
      </c>
      <c r="F54" t="s">
        <v>34</v>
      </c>
      <c r="G54" t="s">
        <v>21</v>
      </c>
      <c r="H54" t="s">
        <v>167</v>
      </c>
      <c r="I54">
        <v>13.2</v>
      </c>
      <c r="J54">
        <v>34</v>
      </c>
      <c r="K54">
        <v>21700</v>
      </c>
      <c r="L54">
        <v>3</v>
      </c>
      <c r="M54">
        <v>5</v>
      </c>
      <c r="N54" t="s">
        <v>23</v>
      </c>
      <c r="O54" t="s">
        <v>36</v>
      </c>
      <c r="P54" t="s">
        <v>23</v>
      </c>
    </row>
    <row r="55" spans="1:16" x14ac:dyDescent="0.2">
      <c r="A55" t="s">
        <v>168</v>
      </c>
      <c r="B55">
        <v>37</v>
      </c>
      <c r="C55" t="s">
        <v>48</v>
      </c>
      <c r="D55" t="s">
        <v>26</v>
      </c>
      <c r="E55" t="s">
        <v>27</v>
      </c>
      <c r="F55" t="s">
        <v>20</v>
      </c>
      <c r="G55" t="s">
        <v>45</v>
      </c>
      <c r="H55" t="s">
        <v>169</v>
      </c>
      <c r="I55">
        <v>1.8</v>
      </c>
      <c r="J55">
        <v>11</v>
      </c>
      <c r="K55">
        <v>17500</v>
      </c>
      <c r="L55">
        <v>2</v>
      </c>
      <c r="M55">
        <v>2</v>
      </c>
      <c r="N55" t="s">
        <v>41</v>
      </c>
      <c r="O55" t="s">
        <v>24</v>
      </c>
      <c r="P55" t="s">
        <v>23</v>
      </c>
    </row>
    <row r="56" spans="1:16" x14ac:dyDescent="0.2">
      <c r="A56" t="s">
        <v>170</v>
      </c>
      <c r="B56">
        <v>50</v>
      </c>
      <c r="C56" t="s">
        <v>43</v>
      </c>
      <c r="D56" t="s">
        <v>32</v>
      </c>
      <c r="E56" t="s">
        <v>33</v>
      </c>
      <c r="F56" t="s">
        <v>34</v>
      </c>
      <c r="G56" t="s">
        <v>45</v>
      </c>
      <c r="H56" t="s">
        <v>171</v>
      </c>
      <c r="I56">
        <v>14.7</v>
      </c>
      <c r="J56">
        <v>29</v>
      </c>
      <c r="K56">
        <v>14700</v>
      </c>
      <c r="L56">
        <v>4</v>
      </c>
      <c r="M56">
        <v>4</v>
      </c>
      <c r="N56" t="s">
        <v>23</v>
      </c>
      <c r="O56" t="s">
        <v>80</v>
      </c>
      <c r="P56" t="s">
        <v>23</v>
      </c>
    </row>
    <row r="57" spans="1:16" x14ac:dyDescent="0.2">
      <c r="A57" t="s">
        <v>172</v>
      </c>
      <c r="B57">
        <v>25</v>
      </c>
      <c r="C57" t="s">
        <v>48</v>
      </c>
      <c r="D57" t="s">
        <v>32</v>
      </c>
      <c r="E57" t="s">
        <v>104</v>
      </c>
      <c r="F57" t="s">
        <v>34</v>
      </c>
      <c r="G57" t="s">
        <v>28</v>
      </c>
      <c r="H57" t="s">
        <v>173</v>
      </c>
      <c r="I57">
        <v>0.9</v>
      </c>
      <c r="J57">
        <v>4</v>
      </c>
      <c r="K57">
        <v>12400</v>
      </c>
      <c r="L57">
        <v>4</v>
      </c>
      <c r="M57">
        <v>4</v>
      </c>
      <c r="N57" t="s">
        <v>23</v>
      </c>
      <c r="O57" t="s">
        <v>24</v>
      </c>
      <c r="P57" t="s">
        <v>23</v>
      </c>
    </row>
    <row r="58" spans="1:16" x14ac:dyDescent="0.2">
      <c r="A58" t="s">
        <v>174</v>
      </c>
      <c r="B58">
        <v>49</v>
      </c>
      <c r="C58" t="s">
        <v>17</v>
      </c>
      <c r="D58" t="s">
        <v>32</v>
      </c>
      <c r="E58" t="s">
        <v>149</v>
      </c>
      <c r="F58" t="s">
        <v>34</v>
      </c>
      <c r="G58" t="s">
        <v>51</v>
      </c>
      <c r="H58" t="s">
        <v>175</v>
      </c>
      <c r="I58">
        <v>12.8</v>
      </c>
      <c r="J58">
        <v>28</v>
      </c>
      <c r="K58">
        <v>23600</v>
      </c>
      <c r="L58">
        <v>4</v>
      </c>
      <c r="M58">
        <v>4</v>
      </c>
      <c r="N58" t="s">
        <v>41</v>
      </c>
      <c r="O58" t="s">
        <v>24</v>
      </c>
      <c r="P58" t="s">
        <v>23</v>
      </c>
    </row>
    <row r="59" spans="1:16" x14ac:dyDescent="0.2">
      <c r="A59" t="s">
        <v>176</v>
      </c>
      <c r="B59">
        <v>32</v>
      </c>
      <c r="C59" t="s">
        <v>17</v>
      </c>
      <c r="D59" t="s">
        <v>89</v>
      </c>
      <c r="E59" t="s">
        <v>93</v>
      </c>
      <c r="F59" t="s">
        <v>50</v>
      </c>
      <c r="G59" t="s">
        <v>51</v>
      </c>
      <c r="H59" t="s">
        <v>177</v>
      </c>
      <c r="I59">
        <v>5.6</v>
      </c>
      <c r="J59">
        <v>8</v>
      </c>
      <c r="K59">
        <v>8600</v>
      </c>
      <c r="L59">
        <v>5</v>
      </c>
      <c r="M59">
        <v>3</v>
      </c>
      <c r="N59" t="s">
        <v>23</v>
      </c>
      <c r="O59" t="s">
        <v>36</v>
      </c>
      <c r="P59" t="s">
        <v>23</v>
      </c>
    </row>
    <row r="60" spans="1:16" x14ac:dyDescent="0.2">
      <c r="A60" t="s">
        <v>178</v>
      </c>
      <c r="B60">
        <v>41</v>
      </c>
      <c r="C60" t="s">
        <v>17</v>
      </c>
      <c r="D60" t="s">
        <v>38</v>
      </c>
      <c r="E60" t="s">
        <v>44</v>
      </c>
      <c r="F60" t="s">
        <v>50</v>
      </c>
      <c r="G60" t="s">
        <v>21</v>
      </c>
      <c r="H60" t="s">
        <v>179</v>
      </c>
      <c r="I60">
        <v>2.2000000000000002</v>
      </c>
      <c r="J60">
        <v>15</v>
      </c>
      <c r="K60">
        <v>16700</v>
      </c>
      <c r="L60">
        <v>3</v>
      </c>
      <c r="M60">
        <v>4</v>
      </c>
      <c r="N60" t="s">
        <v>23</v>
      </c>
      <c r="O60" t="s">
        <v>80</v>
      </c>
      <c r="P60" t="s">
        <v>23</v>
      </c>
    </row>
    <row r="61" spans="1:16" x14ac:dyDescent="0.2">
      <c r="A61" t="s">
        <v>180</v>
      </c>
      <c r="B61">
        <v>41</v>
      </c>
      <c r="C61" t="s">
        <v>48</v>
      </c>
      <c r="D61" t="s">
        <v>32</v>
      </c>
      <c r="E61" t="s">
        <v>33</v>
      </c>
      <c r="F61" t="s">
        <v>34</v>
      </c>
      <c r="G61" t="s">
        <v>28</v>
      </c>
      <c r="H61" t="s">
        <v>181</v>
      </c>
      <c r="I61">
        <v>8.6999999999999993</v>
      </c>
      <c r="J61">
        <v>20</v>
      </c>
      <c r="K61">
        <v>14100</v>
      </c>
      <c r="L61">
        <v>4</v>
      </c>
      <c r="M61">
        <v>1</v>
      </c>
      <c r="N61" t="s">
        <v>23</v>
      </c>
      <c r="O61" t="s">
        <v>24</v>
      </c>
      <c r="P61" t="s">
        <v>41</v>
      </c>
    </row>
    <row r="62" spans="1:16" x14ac:dyDescent="0.2">
      <c r="A62" t="s">
        <v>182</v>
      </c>
      <c r="B62">
        <v>24</v>
      </c>
      <c r="C62" t="s">
        <v>43</v>
      </c>
      <c r="D62" t="s">
        <v>18</v>
      </c>
      <c r="E62" t="s">
        <v>160</v>
      </c>
      <c r="F62" t="s">
        <v>34</v>
      </c>
      <c r="G62" t="s">
        <v>45</v>
      </c>
      <c r="H62" t="s">
        <v>183</v>
      </c>
      <c r="I62">
        <v>1.5</v>
      </c>
      <c r="J62">
        <v>2</v>
      </c>
      <c r="K62">
        <v>15400</v>
      </c>
      <c r="L62">
        <v>5</v>
      </c>
      <c r="M62">
        <v>3</v>
      </c>
      <c r="N62" t="s">
        <v>23</v>
      </c>
      <c r="O62" t="s">
        <v>24</v>
      </c>
      <c r="P62" t="s">
        <v>23</v>
      </c>
    </row>
    <row r="63" spans="1:16" x14ac:dyDescent="0.2">
      <c r="A63" t="s">
        <v>184</v>
      </c>
      <c r="B63">
        <v>56</v>
      </c>
      <c r="C63" t="s">
        <v>48</v>
      </c>
      <c r="D63" t="s">
        <v>32</v>
      </c>
      <c r="E63" t="s">
        <v>139</v>
      </c>
      <c r="F63" t="s">
        <v>50</v>
      </c>
      <c r="G63" t="s">
        <v>28</v>
      </c>
      <c r="H63" t="s">
        <v>185</v>
      </c>
      <c r="I63">
        <v>2</v>
      </c>
      <c r="J63">
        <v>32</v>
      </c>
      <c r="K63">
        <v>13000</v>
      </c>
      <c r="L63">
        <v>3</v>
      </c>
      <c r="M63">
        <v>2</v>
      </c>
      <c r="N63" t="s">
        <v>23</v>
      </c>
      <c r="O63" t="s">
        <v>24</v>
      </c>
      <c r="P63" t="s">
        <v>23</v>
      </c>
    </row>
    <row r="64" spans="1:16" x14ac:dyDescent="0.2">
      <c r="A64" t="s">
        <v>186</v>
      </c>
      <c r="B64">
        <v>50</v>
      </c>
      <c r="C64" t="s">
        <v>31</v>
      </c>
      <c r="D64" t="s">
        <v>38</v>
      </c>
      <c r="E64" t="s">
        <v>76</v>
      </c>
      <c r="F64" t="s">
        <v>50</v>
      </c>
      <c r="G64" t="s">
        <v>56</v>
      </c>
      <c r="H64" t="s">
        <v>187</v>
      </c>
      <c r="I64">
        <v>3.2</v>
      </c>
      <c r="J64">
        <v>25</v>
      </c>
      <c r="K64">
        <v>18600</v>
      </c>
      <c r="L64">
        <v>5</v>
      </c>
      <c r="M64">
        <v>3</v>
      </c>
      <c r="N64" t="s">
        <v>23</v>
      </c>
      <c r="O64" t="s">
        <v>36</v>
      </c>
      <c r="P64" t="s">
        <v>23</v>
      </c>
    </row>
    <row r="65" spans="1:16" x14ac:dyDescent="0.2">
      <c r="A65" t="s">
        <v>188</v>
      </c>
      <c r="B65">
        <v>39</v>
      </c>
      <c r="C65" t="s">
        <v>48</v>
      </c>
      <c r="D65" t="s">
        <v>32</v>
      </c>
      <c r="E65" t="s">
        <v>139</v>
      </c>
      <c r="F65" t="s">
        <v>34</v>
      </c>
      <c r="G65" t="s">
        <v>56</v>
      </c>
      <c r="H65" t="s">
        <v>189</v>
      </c>
      <c r="I65">
        <v>6.4</v>
      </c>
      <c r="J65">
        <v>13</v>
      </c>
      <c r="K65">
        <v>11500</v>
      </c>
      <c r="L65">
        <v>4</v>
      </c>
      <c r="M65">
        <v>4</v>
      </c>
      <c r="N65" t="s">
        <v>23</v>
      </c>
      <c r="O65" t="s">
        <v>24</v>
      </c>
      <c r="P65" t="s">
        <v>23</v>
      </c>
    </row>
    <row r="66" spans="1:16" x14ac:dyDescent="0.2">
      <c r="A66" t="s">
        <v>190</v>
      </c>
      <c r="B66">
        <v>41</v>
      </c>
      <c r="C66" t="s">
        <v>31</v>
      </c>
      <c r="D66" t="s">
        <v>38</v>
      </c>
      <c r="E66" t="s">
        <v>59</v>
      </c>
      <c r="F66" t="s">
        <v>50</v>
      </c>
      <c r="G66" t="s">
        <v>45</v>
      </c>
      <c r="H66" t="s">
        <v>191</v>
      </c>
      <c r="I66">
        <v>4.0999999999999996</v>
      </c>
      <c r="J66">
        <v>14</v>
      </c>
      <c r="K66">
        <v>24800</v>
      </c>
      <c r="L66">
        <v>4</v>
      </c>
      <c r="M66">
        <v>3</v>
      </c>
      <c r="N66" t="s">
        <v>23</v>
      </c>
      <c r="O66" t="s">
        <v>24</v>
      </c>
      <c r="P66" t="s">
        <v>23</v>
      </c>
    </row>
    <row r="67" spans="1:16" x14ac:dyDescent="0.2">
      <c r="A67" t="s">
        <v>192</v>
      </c>
      <c r="B67">
        <v>29</v>
      </c>
      <c r="C67" t="s">
        <v>31</v>
      </c>
      <c r="D67" t="s">
        <v>38</v>
      </c>
      <c r="E67" t="s">
        <v>39</v>
      </c>
      <c r="F67" t="s">
        <v>34</v>
      </c>
      <c r="G67" t="s">
        <v>45</v>
      </c>
      <c r="H67" t="s">
        <v>193</v>
      </c>
      <c r="I67">
        <v>3.2</v>
      </c>
      <c r="J67">
        <v>4</v>
      </c>
      <c r="K67">
        <v>9900</v>
      </c>
      <c r="L67">
        <v>5</v>
      </c>
      <c r="M67">
        <v>3</v>
      </c>
      <c r="N67" t="s">
        <v>23</v>
      </c>
      <c r="O67" t="s">
        <v>24</v>
      </c>
      <c r="P67" t="s">
        <v>23</v>
      </c>
    </row>
    <row r="68" spans="1:16" x14ac:dyDescent="0.2">
      <c r="A68" t="s">
        <v>194</v>
      </c>
      <c r="B68">
        <v>37</v>
      </c>
      <c r="C68" t="s">
        <v>48</v>
      </c>
      <c r="D68" t="s">
        <v>54</v>
      </c>
      <c r="E68" t="s">
        <v>134</v>
      </c>
      <c r="F68" t="s">
        <v>34</v>
      </c>
      <c r="G68" t="s">
        <v>28</v>
      </c>
      <c r="H68" t="s">
        <v>195</v>
      </c>
      <c r="I68">
        <v>13.3</v>
      </c>
      <c r="J68">
        <v>14</v>
      </c>
      <c r="K68">
        <v>17600</v>
      </c>
      <c r="L68">
        <v>4</v>
      </c>
      <c r="M68">
        <v>4</v>
      </c>
      <c r="N68" t="s">
        <v>23</v>
      </c>
      <c r="O68" t="s">
        <v>36</v>
      </c>
      <c r="P68" t="s">
        <v>23</v>
      </c>
    </row>
    <row r="69" spans="1:16" x14ac:dyDescent="0.2">
      <c r="A69" t="s">
        <v>196</v>
      </c>
      <c r="B69">
        <v>60</v>
      </c>
      <c r="C69" t="s">
        <v>17</v>
      </c>
      <c r="D69" t="s">
        <v>89</v>
      </c>
      <c r="E69" t="s">
        <v>93</v>
      </c>
      <c r="F69" t="s">
        <v>50</v>
      </c>
      <c r="G69" t="s">
        <v>45</v>
      </c>
      <c r="H69" t="s">
        <v>197</v>
      </c>
      <c r="I69">
        <v>5.0999999999999996</v>
      </c>
      <c r="J69">
        <v>38</v>
      </c>
      <c r="K69">
        <v>13300</v>
      </c>
      <c r="L69">
        <v>5</v>
      </c>
      <c r="M69">
        <v>4</v>
      </c>
      <c r="N69" t="s">
        <v>23</v>
      </c>
      <c r="O69" t="s">
        <v>24</v>
      </c>
      <c r="P69" t="s">
        <v>23</v>
      </c>
    </row>
    <row r="70" spans="1:16" x14ac:dyDescent="0.2">
      <c r="A70" t="s">
        <v>198</v>
      </c>
      <c r="B70">
        <v>22</v>
      </c>
      <c r="C70" t="s">
        <v>43</v>
      </c>
      <c r="D70" t="s">
        <v>18</v>
      </c>
      <c r="E70" t="s">
        <v>199</v>
      </c>
      <c r="F70" t="s">
        <v>20</v>
      </c>
      <c r="G70" t="s">
        <v>45</v>
      </c>
      <c r="H70" t="s">
        <v>173</v>
      </c>
      <c r="I70">
        <v>0.9</v>
      </c>
      <c r="J70">
        <v>1</v>
      </c>
      <c r="K70">
        <v>9400</v>
      </c>
      <c r="L70">
        <v>3</v>
      </c>
      <c r="M70">
        <v>3</v>
      </c>
      <c r="N70" t="s">
        <v>41</v>
      </c>
      <c r="O70" t="s">
        <v>24</v>
      </c>
      <c r="P70" t="s">
        <v>23</v>
      </c>
    </row>
    <row r="71" spans="1:16" x14ac:dyDescent="0.2">
      <c r="A71" t="s">
        <v>200</v>
      </c>
      <c r="B71">
        <v>60</v>
      </c>
      <c r="C71" t="s">
        <v>31</v>
      </c>
      <c r="D71" t="s">
        <v>54</v>
      </c>
      <c r="E71" t="s">
        <v>134</v>
      </c>
      <c r="F71" t="s">
        <v>50</v>
      </c>
      <c r="G71" t="s">
        <v>56</v>
      </c>
      <c r="H71" t="s">
        <v>201</v>
      </c>
      <c r="I71">
        <v>5.2</v>
      </c>
      <c r="J71">
        <v>34</v>
      </c>
      <c r="K71">
        <v>21900</v>
      </c>
      <c r="L71">
        <v>2</v>
      </c>
      <c r="M71">
        <v>3</v>
      </c>
      <c r="N71" t="s">
        <v>41</v>
      </c>
      <c r="O71" t="s">
        <v>24</v>
      </c>
      <c r="P71" t="s">
        <v>41</v>
      </c>
    </row>
    <row r="72" spans="1:16" x14ac:dyDescent="0.2">
      <c r="A72" t="s">
        <v>202</v>
      </c>
      <c r="B72">
        <v>49</v>
      </c>
      <c r="C72" t="s">
        <v>31</v>
      </c>
      <c r="D72" t="s">
        <v>26</v>
      </c>
      <c r="E72" t="s">
        <v>67</v>
      </c>
      <c r="F72" t="s">
        <v>20</v>
      </c>
      <c r="G72" t="s">
        <v>45</v>
      </c>
      <c r="H72" t="s">
        <v>203</v>
      </c>
      <c r="I72">
        <v>12.6</v>
      </c>
      <c r="J72">
        <v>26</v>
      </c>
      <c r="K72">
        <v>13100</v>
      </c>
      <c r="L72">
        <v>5</v>
      </c>
      <c r="M72">
        <v>4</v>
      </c>
      <c r="N72" t="s">
        <v>23</v>
      </c>
      <c r="O72" t="s">
        <v>24</v>
      </c>
      <c r="P72" t="s">
        <v>23</v>
      </c>
    </row>
    <row r="73" spans="1:16" x14ac:dyDescent="0.2">
      <c r="A73" t="s">
        <v>204</v>
      </c>
      <c r="B73">
        <v>57</v>
      </c>
      <c r="C73" t="s">
        <v>17</v>
      </c>
      <c r="D73" t="s">
        <v>38</v>
      </c>
      <c r="E73" t="s">
        <v>44</v>
      </c>
      <c r="F73" t="s">
        <v>34</v>
      </c>
      <c r="G73" t="s">
        <v>28</v>
      </c>
      <c r="H73" t="s">
        <v>205</v>
      </c>
      <c r="I73">
        <v>15</v>
      </c>
      <c r="J73">
        <v>34</v>
      </c>
      <c r="K73">
        <v>19500</v>
      </c>
      <c r="L73">
        <v>5</v>
      </c>
      <c r="M73">
        <v>4</v>
      </c>
      <c r="N73" t="s">
        <v>41</v>
      </c>
      <c r="O73" t="s">
        <v>36</v>
      </c>
      <c r="P73" t="s">
        <v>23</v>
      </c>
    </row>
    <row r="74" spans="1:16" x14ac:dyDescent="0.2">
      <c r="A74" t="s">
        <v>206</v>
      </c>
      <c r="B74">
        <v>59</v>
      </c>
      <c r="C74" t="s">
        <v>43</v>
      </c>
      <c r="D74" t="s">
        <v>32</v>
      </c>
      <c r="E74" t="s">
        <v>104</v>
      </c>
      <c r="F74" t="s">
        <v>34</v>
      </c>
      <c r="G74" t="s">
        <v>21</v>
      </c>
      <c r="H74" t="s">
        <v>207</v>
      </c>
      <c r="I74">
        <v>7.6</v>
      </c>
      <c r="J74">
        <v>32</v>
      </c>
      <c r="K74">
        <v>18800</v>
      </c>
      <c r="L74">
        <v>2</v>
      </c>
      <c r="M74">
        <v>3</v>
      </c>
      <c r="N74" t="s">
        <v>23</v>
      </c>
      <c r="O74" t="s">
        <v>36</v>
      </c>
      <c r="P74" t="s">
        <v>23</v>
      </c>
    </row>
    <row r="75" spans="1:16" x14ac:dyDescent="0.2">
      <c r="A75" t="s">
        <v>208</v>
      </c>
      <c r="B75">
        <v>40</v>
      </c>
      <c r="C75" t="s">
        <v>43</v>
      </c>
      <c r="D75" t="s">
        <v>18</v>
      </c>
      <c r="E75" t="s">
        <v>19</v>
      </c>
      <c r="F75" t="s">
        <v>20</v>
      </c>
      <c r="G75" t="s">
        <v>56</v>
      </c>
      <c r="H75" t="s">
        <v>209</v>
      </c>
      <c r="I75">
        <v>9.4</v>
      </c>
      <c r="J75">
        <v>13</v>
      </c>
      <c r="K75">
        <v>10500</v>
      </c>
      <c r="L75">
        <v>3</v>
      </c>
      <c r="M75">
        <v>2</v>
      </c>
      <c r="N75" t="s">
        <v>23</v>
      </c>
      <c r="O75" t="s">
        <v>24</v>
      </c>
      <c r="P75" t="s">
        <v>23</v>
      </c>
    </row>
    <row r="76" spans="1:16" x14ac:dyDescent="0.2">
      <c r="A76" t="s">
        <v>210</v>
      </c>
      <c r="B76">
        <v>31</v>
      </c>
      <c r="C76" t="s">
        <v>43</v>
      </c>
      <c r="D76" t="s">
        <v>32</v>
      </c>
      <c r="E76" t="s">
        <v>33</v>
      </c>
      <c r="F76" t="s">
        <v>34</v>
      </c>
      <c r="G76" t="s">
        <v>28</v>
      </c>
      <c r="H76" t="s">
        <v>211</v>
      </c>
      <c r="I76">
        <v>8.8000000000000007</v>
      </c>
      <c r="J76">
        <v>8</v>
      </c>
      <c r="K76">
        <v>11000</v>
      </c>
      <c r="L76">
        <v>4</v>
      </c>
      <c r="M76">
        <v>3</v>
      </c>
      <c r="N76" t="s">
        <v>41</v>
      </c>
      <c r="O76" t="s">
        <v>80</v>
      </c>
      <c r="P76" t="s">
        <v>23</v>
      </c>
    </row>
    <row r="77" spans="1:16" x14ac:dyDescent="0.2">
      <c r="A77" t="s">
        <v>212</v>
      </c>
      <c r="B77">
        <v>26</v>
      </c>
      <c r="C77" t="s">
        <v>48</v>
      </c>
      <c r="D77" t="s">
        <v>89</v>
      </c>
      <c r="E77" t="s">
        <v>90</v>
      </c>
      <c r="F77" t="s">
        <v>20</v>
      </c>
      <c r="G77" t="s">
        <v>45</v>
      </c>
      <c r="H77" t="s">
        <v>213</v>
      </c>
      <c r="I77">
        <v>0.6</v>
      </c>
      <c r="J77">
        <v>0</v>
      </c>
      <c r="K77">
        <v>9300</v>
      </c>
      <c r="L77">
        <v>3</v>
      </c>
      <c r="M77">
        <v>3</v>
      </c>
      <c r="N77" t="s">
        <v>23</v>
      </c>
      <c r="O77" t="s">
        <v>36</v>
      </c>
      <c r="P77" t="s">
        <v>23</v>
      </c>
    </row>
    <row r="78" spans="1:16" x14ac:dyDescent="0.2">
      <c r="A78" t="s">
        <v>214</v>
      </c>
      <c r="B78">
        <v>60</v>
      </c>
      <c r="C78" t="s">
        <v>31</v>
      </c>
      <c r="D78" t="s">
        <v>38</v>
      </c>
      <c r="E78" t="s">
        <v>39</v>
      </c>
      <c r="F78" t="s">
        <v>20</v>
      </c>
      <c r="G78" t="s">
        <v>45</v>
      </c>
      <c r="H78" t="s">
        <v>215</v>
      </c>
      <c r="I78">
        <v>7</v>
      </c>
      <c r="J78">
        <v>35</v>
      </c>
      <c r="K78">
        <v>17600</v>
      </c>
      <c r="L78">
        <v>2</v>
      </c>
      <c r="M78">
        <v>2</v>
      </c>
      <c r="N78" t="s">
        <v>23</v>
      </c>
      <c r="O78" t="s">
        <v>80</v>
      </c>
      <c r="P78" t="s">
        <v>23</v>
      </c>
    </row>
    <row r="79" spans="1:16" x14ac:dyDescent="0.2">
      <c r="A79" t="s">
        <v>216</v>
      </c>
      <c r="B79">
        <v>40</v>
      </c>
      <c r="C79" t="s">
        <v>31</v>
      </c>
      <c r="D79" t="s">
        <v>54</v>
      </c>
      <c r="E79" t="s">
        <v>82</v>
      </c>
      <c r="F79" t="s">
        <v>34</v>
      </c>
      <c r="G79" t="s">
        <v>45</v>
      </c>
      <c r="H79" t="s">
        <v>217</v>
      </c>
      <c r="I79">
        <v>2.5</v>
      </c>
      <c r="J79">
        <v>16</v>
      </c>
      <c r="K79">
        <v>9100</v>
      </c>
      <c r="L79">
        <v>5</v>
      </c>
      <c r="M79">
        <v>2</v>
      </c>
      <c r="N79" t="s">
        <v>23</v>
      </c>
      <c r="O79" t="s">
        <v>36</v>
      </c>
      <c r="P79" t="s">
        <v>23</v>
      </c>
    </row>
    <row r="80" spans="1:16" x14ac:dyDescent="0.2">
      <c r="A80" t="s">
        <v>218</v>
      </c>
      <c r="B80">
        <v>52</v>
      </c>
      <c r="C80" t="s">
        <v>48</v>
      </c>
      <c r="D80" t="s">
        <v>38</v>
      </c>
      <c r="E80" t="s">
        <v>39</v>
      </c>
      <c r="F80" t="s">
        <v>34</v>
      </c>
      <c r="G80" t="s">
        <v>51</v>
      </c>
      <c r="H80" t="s">
        <v>219</v>
      </c>
      <c r="I80">
        <v>8.8000000000000007</v>
      </c>
      <c r="J80">
        <v>27</v>
      </c>
      <c r="K80">
        <v>13800</v>
      </c>
      <c r="L80">
        <v>4</v>
      </c>
      <c r="M80">
        <v>3</v>
      </c>
      <c r="N80" t="s">
        <v>23</v>
      </c>
      <c r="O80" t="s">
        <v>24</v>
      </c>
      <c r="P80" t="s">
        <v>23</v>
      </c>
    </row>
    <row r="81" spans="1:16" x14ac:dyDescent="0.2">
      <c r="A81" t="s">
        <v>220</v>
      </c>
      <c r="B81">
        <v>38</v>
      </c>
      <c r="C81" t="s">
        <v>48</v>
      </c>
      <c r="D81" t="s">
        <v>54</v>
      </c>
      <c r="E81" t="s">
        <v>134</v>
      </c>
      <c r="F81" t="s">
        <v>20</v>
      </c>
      <c r="G81" t="s">
        <v>45</v>
      </c>
      <c r="H81" t="s">
        <v>221</v>
      </c>
      <c r="I81">
        <v>2.7</v>
      </c>
      <c r="J81">
        <v>16</v>
      </c>
      <c r="K81">
        <v>18200</v>
      </c>
      <c r="L81">
        <v>2</v>
      </c>
      <c r="M81">
        <v>3</v>
      </c>
      <c r="N81" t="s">
        <v>23</v>
      </c>
      <c r="O81" t="s">
        <v>80</v>
      </c>
      <c r="P81" t="s">
        <v>41</v>
      </c>
    </row>
    <row r="82" spans="1:16" x14ac:dyDescent="0.2">
      <c r="A82" t="s">
        <v>222</v>
      </c>
      <c r="B82">
        <v>25</v>
      </c>
      <c r="C82" t="s">
        <v>17</v>
      </c>
      <c r="D82" t="s">
        <v>89</v>
      </c>
      <c r="E82" t="s">
        <v>142</v>
      </c>
      <c r="F82" t="s">
        <v>50</v>
      </c>
      <c r="G82" t="s">
        <v>45</v>
      </c>
      <c r="H82" t="s">
        <v>223</v>
      </c>
      <c r="I82">
        <v>0.8</v>
      </c>
      <c r="J82">
        <v>0</v>
      </c>
      <c r="K82">
        <v>10600</v>
      </c>
      <c r="L82">
        <v>2</v>
      </c>
      <c r="M82">
        <v>5</v>
      </c>
      <c r="N82" t="s">
        <v>23</v>
      </c>
      <c r="O82" t="s">
        <v>24</v>
      </c>
      <c r="P82" t="s">
        <v>23</v>
      </c>
    </row>
    <row r="83" spans="1:16" x14ac:dyDescent="0.2">
      <c r="A83" t="s">
        <v>224</v>
      </c>
      <c r="B83">
        <v>32</v>
      </c>
      <c r="C83" t="s">
        <v>43</v>
      </c>
      <c r="D83" t="s">
        <v>26</v>
      </c>
      <c r="E83" t="s">
        <v>98</v>
      </c>
      <c r="F83" t="s">
        <v>34</v>
      </c>
      <c r="G83" t="s">
        <v>28</v>
      </c>
      <c r="H83" t="s">
        <v>137</v>
      </c>
      <c r="I83">
        <v>0.6</v>
      </c>
      <c r="J83">
        <v>11</v>
      </c>
      <c r="K83">
        <v>11000</v>
      </c>
      <c r="L83">
        <v>3</v>
      </c>
      <c r="M83">
        <v>4</v>
      </c>
      <c r="N83" t="s">
        <v>23</v>
      </c>
      <c r="O83" t="s">
        <v>24</v>
      </c>
      <c r="P83" t="s">
        <v>23</v>
      </c>
    </row>
    <row r="84" spans="1:16" x14ac:dyDescent="0.2">
      <c r="A84" t="s">
        <v>225</v>
      </c>
      <c r="B84">
        <v>25</v>
      </c>
      <c r="C84" t="s">
        <v>48</v>
      </c>
      <c r="D84" t="s">
        <v>89</v>
      </c>
      <c r="E84" t="s">
        <v>93</v>
      </c>
      <c r="F84" t="s">
        <v>50</v>
      </c>
      <c r="G84" t="s">
        <v>21</v>
      </c>
      <c r="H84" t="s">
        <v>226</v>
      </c>
      <c r="I84">
        <v>1.2</v>
      </c>
      <c r="J84">
        <v>1</v>
      </c>
      <c r="K84">
        <v>7000</v>
      </c>
      <c r="L84">
        <v>3</v>
      </c>
      <c r="M84">
        <v>2</v>
      </c>
      <c r="N84" t="s">
        <v>23</v>
      </c>
      <c r="O84" t="s">
        <v>80</v>
      </c>
      <c r="P84" t="s">
        <v>41</v>
      </c>
    </row>
    <row r="85" spans="1:16" x14ac:dyDescent="0.2">
      <c r="A85" t="s">
        <v>227</v>
      </c>
      <c r="B85">
        <v>46</v>
      </c>
      <c r="C85" t="s">
        <v>43</v>
      </c>
      <c r="D85" t="s">
        <v>54</v>
      </c>
      <c r="E85" t="s">
        <v>134</v>
      </c>
      <c r="F85" t="s">
        <v>50</v>
      </c>
      <c r="G85" t="s">
        <v>56</v>
      </c>
      <c r="H85" t="s">
        <v>228</v>
      </c>
      <c r="I85">
        <v>14.7</v>
      </c>
      <c r="J85">
        <v>22</v>
      </c>
      <c r="K85">
        <v>19400</v>
      </c>
      <c r="L85">
        <v>4</v>
      </c>
      <c r="M85">
        <v>3</v>
      </c>
      <c r="N85" t="s">
        <v>23</v>
      </c>
      <c r="O85" t="s">
        <v>24</v>
      </c>
      <c r="P85" t="s">
        <v>23</v>
      </c>
    </row>
    <row r="86" spans="1:16" x14ac:dyDescent="0.2">
      <c r="A86" t="s">
        <v>229</v>
      </c>
      <c r="B86">
        <v>45</v>
      </c>
      <c r="C86" t="s">
        <v>43</v>
      </c>
      <c r="D86" t="s">
        <v>18</v>
      </c>
      <c r="E86" t="s">
        <v>199</v>
      </c>
      <c r="F86" t="s">
        <v>50</v>
      </c>
      <c r="G86" t="s">
        <v>28</v>
      </c>
      <c r="H86" t="s">
        <v>230</v>
      </c>
      <c r="I86">
        <v>11.3</v>
      </c>
      <c r="J86">
        <v>20</v>
      </c>
      <c r="K86">
        <v>14400</v>
      </c>
      <c r="L86">
        <v>3</v>
      </c>
      <c r="M86">
        <v>3</v>
      </c>
      <c r="N86" t="s">
        <v>23</v>
      </c>
      <c r="O86" t="s">
        <v>24</v>
      </c>
      <c r="P86" t="s">
        <v>23</v>
      </c>
    </row>
    <row r="87" spans="1:16" x14ac:dyDescent="0.2">
      <c r="A87" t="s">
        <v>231</v>
      </c>
      <c r="B87">
        <v>42</v>
      </c>
      <c r="C87" t="s">
        <v>31</v>
      </c>
      <c r="D87" t="s">
        <v>26</v>
      </c>
      <c r="E87" t="s">
        <v>49</v>
      </c>
      <c r="F87" t="s">
        <v>20</v>
      </c>
      <c r="G87" t="s">
        <v>21</v>
      </c>
      <c r="H87" t="s">
        <v>232</v>
      </c>
      <c r="I87">
        <v>9.8000000000000007</v>
      </c>
      <c r="J87">
        <v>15</v>
      </c>
      <c r="K87">
        <v>19000</v>
      </c>
      <c r="L87">
        <v>4</v>
      </c>
      <c r="M87">
        <v>3</v>
      </c>
      <c r="N87" t="s">
        <v>23</v>
      </c>
      <c r="O87" t="s">
        <v>24</v>
      </c>
      <c r="P87" t="s">
        <v>23</v>
      </c>
    </row>
    <row r="88" spans="1:16" x14ac:dyDescent="0.2">
      <c r="A88" t="s">
        <v>233</v>
      </c>
      <c r="B88">
        <v>48</v>
      </c>
      <c r="C88" t="s">
        <v>48</v>
      </c>
      <c r="D88" t="s">
        <v>54</v>
      </c>
      <c r="E88" t="s">
        <v>82</v>
      </c>
      <c r="F88" t="s">
        <v>34</v>
      </c>
      <c r="G88" t="s">
        <v>28</v>
      </c>
      <c r="H88" t="s">
        <v>234</v>
      </c>
      <c r="I88">
        <v>8</v>
      </c>
      <c r="J88">
        <v>27</v>
      </c>
      <c r="K88">
        <v>10700</v>
      </c>
      <c r="L88">
        <v>4</v>
      </c>
      <c r="M88">
        <v>4</v>
      </c>
      <c r="N88" t="s">
        <v>23</v>
      </c>
      <c r="O88" t="s">
        <v>24</v>
      </c>
      <c r="P88" t="s">
        <v>23</v>
      </c>
    </row>
    <row r="89" spans="1:16" x14ac:dyDescent="0.2">
      <c r="A89" t="s">
        <v>235</v>
      </c>
      <c r="B89">
        <v>39</v>
      </c>
      <c r="C89" t="s">
        <v>48</v>
      </c>
      <c r="D89" t="s">
        <v>18</v>
      </c>
      <c r="E89" t="s">
        <v>19</v>
      </c>
      <c r="F89" t="s">
        <v>20</v>
      </c>
      <c r="G89" t="s">
        <v>51</v>
      </c>
      <c r="H89" t="s">
        <v>236</v>
      </c>
      <c r="I89">
        <v>6.7</v>
      </c>
      <c r="J89">
        <v>14</v>
      </c>
      <c r="K89">
        <v>8700</v>
      </c>
      <c r="L89">
        <v>4</v>
      </c>
      <c r="M89">
        <v>3</v>
      </c>
      <c r="N89" t="s">
        <v>23</v>
      </c>
      <c r="O89" t="s">
        <v>24</v>
      </c>
      <c r="P89" t="s">
        <v>23</v>
      </c>
    </row>
    <row r="90" spans="1:16" x14ac:dyDescent="0.2">
      <c r="A90" t="s">
        <v>237</v>
      </c>
      <c r="B90">
        <v>48</v>
      </c>
      <c r="C90" t="s">
        <v>48</v>
      </c>
      <c r="D90" t="s">
        <v>89</v>
      </c>
      <c r="E90" t="s">
        <v>142</v>
      </c>
      <c r="F90" t="s">
        <v>20</v>
      </c>
      <c r="G90" t="s">
        <v>45</v>
      </c>
      <c r="H90" t="s">
        <v>238</v>
      </c>
      <c r="I90">
        <v>12</v>
      </c>
      <c r="J90">
        <v>21</v>
      </c>
      <c r="K90">
        <v>14600</v>
      </c>
      <c r="L90">
        <v>4</v>
      </c>
      <c r="M90">
        <v>4</v>
      </c>
      <c r="N90" t="s">
        <v>41</v>
      </c>
      <c r="O90" t="s">
        <v>80</v>
      </c>
      <c r="P90" t="s">
        <v>23</v>
      </c>
    </row>
    <row r="91" spans="1:16" x14ac:dyDescent="0.2">
      <c r="A91" t="s">
        <v>239</v>
      </c>
      <c r="B91">
        <v>42</v>
      </c>
      <c r="C91" t="s">
        <v>43</v>
      </c>
      <c r="D91" t="s">
        <v>32</v>
      </c>
      <c r="E91" t="s">
        <v>33</v>
      </c>
      <c r="F91" t="s">
        <v>50</v>
      </c>
      <c r="G91" t="s">
        <v>28</v>
      </c>
      <c r="H91" t="s">
        <v>240</v>
      </c>
      <c r="I91">
        <v>0.2</v>
      </c>
      <c r="J91">
        <v>19</v>
      </c>
      <c r="K91">
        <v>12400</v>
      </c>
      <c r="L91">
        <v>4</v>
      </c>
      <c r="M91">
        <v>3</v>
      </c>
      <c r="N91" t="s">
        <v>41</v>
      </c>
      <c r="O91" t="s">
        <v>36</v>
      </c>
      <c r="P91" t="s">
        <v>41</v>
      </c>
    </row>
    <row r="92" spans="1:16" x14ac:dyDescent="0.2">
      <c r="A92" t="s">
        <v>241</v>
      </c>
      <c r="B92">
        <v>31</v>
      </c>
      <c r="C92" t="s">
        <v>17</v>
      </c>
      <c r="D92" t="s">
        <v>38</v>
      </c>
      <c r="E92" t="s">
        <v>44</v>
      </c>
      <c r="F92" t="s">
        <v>34</v>
      </c>
      <c r="G92" t="s">
        <v>21</v>
      </c>
      <c r="H92" t="s">
        <v>242</v>
      </c>
      <c r="I92">
        <v>3.3</v>
      </c>
      <c r="J92">
        <v>8</v>
      </c>
      <c r="K92">
        <v>16100</v>
      </c>
      <c r="L92">
        <v>4</v>
      </c>
      <c r="M92">
        <v>4</v>
      </c>
      <c r="N92" t="s">
        <v>41</v>
      </c>
      <c r="O92" t="s">
        <v>24</v>
      </c>
      <c r="P92" t="s">
        <v>23</v>
      </c>
    </row>
    <row r="93" spans="1:16" x14ac:dyDescent="0.2">
      <c r="A93" t="s">
        <v>243</v>
      </c>
      <c r="B93">
        <v>48</v>
      </c>
      <c r="C93" t="s">
        <v>31</v>
      </c>
      <c r="D93" t="s">
        <v>32</v>
      </c>
      <c r="E93" t="s">
        <v>149</v>
      </c>
      <c r="F93" t="s">
        <v>34</v>
      </c>
      <c r="G93" t="s">
        <v>51</v>
      </c>
      <c r="H93" t="s">
        <v>244</v>
      </c>
      <c r="I93">
        <v>13</v>
      </c>
      <c r="J93">
        <v>24</v>
      </c>
      <c r="K93">
        <v>22800</v>
      </c>
      <c r="L93">
        <v>3</v>
      </c>
      <c r="M93">
        <v>4</v>
      </c>
      <c r="N93" t="s">
        <v>41</v>
      </c>
      <c r="O93" t="s">
        <v>24</v>
      </c>
      <c r="P93" t="s">
        <v>23</v>
      </c>
    </row>
    <row r="94" spans="1:16" x14ac:dyDescent="0.2">
      <c r="A94" t="s">
        <v>245</v>
      </c>
      <c r="B94">
        <v>46</v>
      </c>
      <c r="C94" t="s">
        <v>17</v>
      </c>
      <c r="D94" t="s">
        <v>54</v>
      </c>
      <c r="E94" t="s">
        <v>55</v>
      </c>
      <c r="F94" t="s">
        <v>50</v>
      </c>
      <c r="G94" t="s">
        <v>28</v>
      </c>
      <c r="H94" t="s">
        <v>246</v>
      </c>
      <c r="I94">
        <v>1.2</v>
      </c>
      <c r="J94">
        <v>21</v>
      </c>
      <c r="K94">
        <v>11200</v>
      </c>
      <c r="L94">
        <v>3</v>
      </c>
      <c r="M94">
        <v>3</v>
      </c>
      <c r="N94" t="s">
        <v>41</v>
      </c>
      <c r="O94" t="s">
        <v>24</v>
      </c>
      <c r="P94" t="s">
        <v>23</v>
      </c>
    </row>
    <row r="95" spans="1:16" x14ac:dyDescent="0.2">
      <c r="A95" t="s">
        <v>247</v>
      </c>
      <c r="B95">
        <v>45</v>
      </c>
      <c r="C95" t="s">
        <v>17</v>
      </c>
      <c r="D95" t="s">
        <v>26</v>
      </c>
      <c r="E95" t="s">
        <v>27</v>
      </c>
      <c r="F95" t="s">
        <v>50</v>
      </c>
      <c r="G95" t="s">
        <v>21</v>
      </c>
      <c r="H95" t="s">
        <v>248</v>
      </c>
      <c r="I95">
        <v>4.9000000000000004</v>
      </c>
      <c r="J95">
        <v>20</v>
      </c>
      <c r="K95">
        <v>20400</v>
      </c>
      <c r="L95">
        <v>4</v>
      </c>
      <c r="M95">
        <v>4</v>
      </c>
      <c r="N95" t="s">
        <v>41</v>
      </c>
      <c r="O95" t="s">
        <v>36</v>
      </c>
      <c r="P95" t="s">
        <v>41</v>
      </c>
    </row>
    <row r="96" spans="1:16" x14ac:dyDescent="0.2">
      <c r="A96" t="s">
        <v>249</v>
      </c>
      <c r="B96">
        <v>57</v>
      </c>
      <c r="C96" t="s">
        <v>48</v>
      </c>
      <c r="D96" t="s">
        <v>32</v>
      </c>
      <c r="E96" t="s">
        <v>149</v>
      </c>
      <c r="F96" t="s">
        <v>20</v>
      </c>
      <c r="G96" t="s">
        <v>28</v>
      </c>
      <c r="H96" t="s">
        <v>250</v>
      </c>
      <c r="I96">
        <v>13.7</v>
      </c>
      <c r="J96">
        <v>33</v>
      </c>
      <c r="K96">
        <v>23900</v>
      </c>
      <c r="L96">
        <v>2</v>
      </c>
      <c r="M96">
        <v>1</v>
      </c>
      <c r="N96" t="s">
        <v>23</v>
      </c>
      <c r="O96" t="s">
        <v>36</v>
      </c>
      <c r="P96" t="s">
        <v>23</v>
      </c>
    </row>
    <row r="97" spans="1:16" x14ac:dyDescent="0.2">
      <c r="A97" t="s">
        <v>251</v>
      </c>
      <c r="B97">
        <v>48</v>
      </c>
      <c r="C97" t="s">
        <v>17</v>
      </c>
      <c r="D97" t="s">
        <v>54</v>
      </c>
      <c r="E97" t="s">
        <v>55</v>
      </c>
      <c r="F97" t="s">
        <v>34</v>
      </c>
      <c r="G97" t="s">
        <v>56</v>
      </c>
      <c r="H97" t="s">
        <v>252</v>
      </c>
      <c r="I97">
        <v>8.6</v>
      </c>
      <c r="J97">
        <v>23</v>
      </c>
      <c r="K97">
        <v>11100</v>
      </c>
      <c r="L97">
        <v>3</v>
      </c>
      <c r="M97">
        <v>3</v>
      </c>
      <c r="N97" t="s">
        <v>23</v>
      </c>
      <c r="O97" t="s">
        <v>24</v>
      </c>
      <c r="P97" t="s">
        <v>23</v>
      </c>
    </row>
    <row r="98" spans="1:16" x14ac:dyDescent="0.2">
      <c r="A98" t="s">
        <v>253</v>
      </c>
      <c r="B98">
        <v>43</v>
      </c>
      <c r="C98" t="s">
        <v>17</v>
      </c>
      <c r="D98" t="s">
        <v>26</v>
      </c>
      <c r="E98" t="s">
        <v>98</v>
      </c>
      <c r="F98" t="s">
        <v>20</v>
      </c>
      <c r="G98" t="s">
        <v>28</v>
      </c>
      <c r="H98" t="s">
        <v>254</v>
      </c>
      <c r="I98">
        <v>13.8</v>
      </c>
      <c r="J98">
        <v>17</v>
      </c>
      <c r="K98">
        <v>12600</v>
      </c>
      <c r="L98">
        <v>3</v>
      </c>
      <c r="M98">
        <v>2</v>
      </c>
      <c r="N98" t="s">
        <v>41</v>
      </c>
      <c r="O98" t="s">
        <v>36</v>
      </c>
      <c r="P98" t="s">
        <v>23</v>
      </c>
    </row>
    <row r="99" spans="1:16" x14ac:dyDescent="0.2">
      <c r="A99" t="s">
        <v>255</v>
      </c>
      <c r="B99">
        <v>57</v>
      </c>
      <c r="C99" t="s">
        <v>48</v>
      </c>
      <c r="D99" t="s">
        <v>38</v>
      </c>
      <c r="E99" t="s">
        <v>59</v>
      </c>
      <c r="F99" t="s">
        <v>50</v>
      </c>
      <c r="G99" t="s">
        <v>56</v>
      </c>
      <c r="H99" t="s">
        <v>256</v>
      </c>
      <c r="I99">
        <v>13.6</v>
      </c>
      <c r="J99">
        <v>31</v>
      </c>
      <c r="K99">
        <v>28200</v>
      </c>
      <c r="L99">
        <v>5</v>
      </c>
      <c r="M99">
        <v>4</v>
      </c>
      <c r="N99" t="s">
        <v>41</v>
      </c>
      <c r="O99" t="s">
        <v>24</v>
      </c>
      <c r="P99" t="s">
        <v>23</v>
      </c>
    </row>
    <row r="100" spans="1:16" x14ac:dyDescent="0.2">
      <c r="A100" t="s">
        <v>257</v>
      </c>
      <c r="B100">
        <v>53</v>
      </c>
      <c r="C100" t="s">
        <v>17</v>
      </c>
      <c r="D100" t="s">
        <v>54</v>
      </c>
      <c r="E100" t="s">
        <v>64</v>
      </c>
      <c r="F100" t="s">
        <v>34</v>
      </c>
      <c r="G100" t="s">
        <v>56</v>
      </c>
      <c r="H100" t="s">
        <v>258</v>
      </c>
      <c r="I100">
        <v>6.7</v>
      </c>
      <c r="J100">
        <v>32</v>
      </c>
      <c r="K100">
        <v>15800</v>
      </c>
      <c r="L100">
        <v>1</v>
      </c>
      <c r="M100">
        <v>3</v>
      </c>
      <c r="N100" t="s">
        <v>23</v>
      </c>
      <c r="O100" t="s">
        <v>36</v>
      </c>
      <c r="P100" t="s">
        <v>23</v>
      </c>
    </row>
    <row r="101" spans="1:16" x14ac:dyDescent="0.2">
      <c r="A101" t="s">
        <v>259</v>
      </c>
      <c r="B101">
        <v>50</v>
      </c>
      <c r="C101" t="s">
        <v>43</v>
      </c>
      <c r="D101" t="s">
        <v>89</v>
      </c>
      <c r="E101" t="s">
        <v>101</v>
      </c>
      <c r="F101" t="s">
        <v>20</v>
      </c>
      <c r="G101" t="s">
        <v>28</v>
      </c>
      <c r="H101" t="s">
        <v>260</v>
      </c>
      <c r="I101">
        <v>11.8</v>
      </c>
      <c r="J101">
        <v>25</v>
      </c>
      <c r="K101">
        <v>18100</v>
      </c>
      <c r="L101">
        <v>3</v>
      </c>
      <c r="M101">
        <v>4</v>
      </c>
      <c r="N101" t="s">
        <v>23</v>
      </c>
      <c r="O101" t="s">
        <v>24</v>
      </c>
      <c r="P101" t="s">
        <v>23</v>
      </c>
    </row>
    <row r="102" spans="1:16" x14ac:dyDescent="0.2">
      <c r="A102" t="s">
        <v>261</v>
      </c>
      <c r="B102">
        <v>26</v>
      </c>
      <c r="C102" t="s">
        <v>48</v>
      </c>
      <c r="D102" t="s">
        <v>54</v>
      </c>
      <c r="E102" t="s">
        <v>64</v>
      </c>
      <c r="F102" t="s">
        <v>50</v>
      </c>
      <c r="G102" t="s">
        <v>28</v>
      </c>
      <c r="H102" t="s">
        <v>169</v>
      </c>
      <c r="I102">
        <v>1.8</v>
      </c>
      <c r="J102">
        <v>1</v>
      </c>
      <c r="K102">
        <v>8600</v>
      </c>
      <c r="L102">
        <v>3</v>
      </c>
      <c r="M102">
        <v>3</v>
      </c>
      <c r="N102" t="s">
        <v>23</v>
      </c>
      <c r="O102" t="s">
        <v>24</v>
      </c>
      <c r="P102" t="s">
        <v>23</v>
      </c>
    </row>
    <row r="103" spans="1:16" x14ac:dyDescent="0.2">
      <c r="A103" t="s">
        <v>262</v>
      </c>
      <c r="B103">
        <v>59</v>
      </c>
      <c r="C103" t="s">
        <v>43</v>
      </c>
      <c r="D103" t="s">
        <v>38</v>
      </c>
      <c r="E103" t="s">
        <v>44</v>
      </c>
      <c r="F103" t="s">
        <v>50</v>
      </c>
      <c r="G103" t="s">
        <v>21</v>
      </c>
      <c r="H103" t="s">
        <v>263</v>
      </c>
      <c r="I103">
        <v>13.5</v>
      </c>
      <c r="J103">
        <v>38</v>
      </c>
      <c r="K103">
        <v>21500</v>
      </c>
      <c r="L103">
        <v>1</v>
      </c>
      <c r="M103">
        <v>2</v>
      </c>
      <c r="N103" t="s">
        <v>23</v>
      </c>
      <c r="O103" t="s">
        <v>24</v>
      </c>
      <c r="P103" t="s">
        <v>23</v>
      </c>
    </row>
    <row r="104" spans="1:16" x14ac:dyDescent="0.2">
      <c r="A104" t="s">
        <v>264</v>
      </c>
      <c r="B104">
        <v>43</v>
      </c>
      <c r="C104" t="s">
        <v>48</v>
      </c>
      <c r="D104" t="s">
        <v>89</v>
      </c>
      <c r="E104" t="s">
        <v>142</v>
      </c>
      <c r="F104" t="s">
        <v>20</v>
      </c>
      <c r="G104" t="s">
        <v>56</v>
      </c>
      <c r="H104" t="s">
        <v>265</v>
      </c>
      <c r="I104">
        <v>14</v>
      </c>
      <c r="J104">
        <v>20</v>
      </c>
      <c r="K104">
        <v>14500</v>
      </c>
      <c r="L104">
        <v>3</v>
      </c>
      <c r="M104">
        <v>4</v>
      </c>
      <c r="N104" t="s">
        <v>23</v>
      </c>
      <c r="O104" t="s">
        <v>24</v>
      </c>
      <c r="P104" t="s">
        <v>23</v>
      </c>
    </row>
    <row r="105" spans="1:16" x14ac:dyDescent="0.2">
      <c r="A105" t="s">
        <v>266</v>
      </c>
      <c r="B105">
        <v>53</v>
      </c>
      <c r="C105" t="s">
        <v>43</v>
      </c>
      <c r="D105" t="s">
        <v>54</v>
      </c>
      <c r="E105" t="s">
        <v>134</v>
      </c>
      <c r="F105" t="s">
        <v>20</v>
      </c>
      <c r="G105" t="s">
        <v>21</v>
      </c>
      <c r="H105" t="s">
        <v>267</v>
      </c>
      <c r="I105">
        <v>0.4</v>
      </c>
      <c r="J105">
        <v>30</v>
      </c>
      <c r="K105">
        <v>20100</v>
      </c>
      <c r="L105">
        <v>2</v>
      </c>
      <c r="M105">
        <v>3</v>
      </c>
      <c r="N105" t="s">
        <v>23</v>
      </c>
      <c r="O105" t="s">
        <v>24</v>
      </c>
      <c r="P105" t="s">
        <v>23</v>
      </c>
    </row>
    <row r="106" spans="1:16" x14ac:dyDescent="0.2">
      <c r="A106" t="s">
        <v>268</v>
      </c>
      <c r="B106">
        <v>53</v>
      </c>
      <c r="C106" t="s">
        <v>43</v>
      </c>
      <c r="D106" t="s">
        <v>32</v>
      </c>
      <c r="E106" t="s">
        <v>139</v>
      </c>
      <c r="F106" t="s">
        <v>20</v>
      </c>
      <c r="G106" t="s">
        <v>56</v>
      </c>
      <c r="H106" t="s">
        <v>269</v>
      </c>
      <c r="I106">
        <v>11.6</v>
      </c>
      <c r="J106">
        <v>26</v>
      </c>
      <c r="K106">
        <v>13600</v>
      </c>
      <c r="L106">
        <v>1</v>
      </c>
      <c r="M106">
        <v>3</v>
      </c>
      <c r="N106" t="s">
        <v>23</v>
      </c>
      <c r="O106" t="s">
        <v>24</v>
      </c>
      <c r="P106" t="s">
        <v>23</v>
      </c>
    </row>
    <row r="107" spans="1:16" x14ac:dyDescent="0.2">
      <c r="A107" t="s">
        <v>270</v>
      </c>
      <c r="B107">
        <v>23</v>
      </c>
      <c r="C107" t="s">
        <v>43</v>
      </c>
      <c r="D107" t="s">
        <v>26</v>
      </c>
      <c r="E107" t="s">
        <v>49</v>
      </c>
      <c r="F107" t="s">
        <v>50</v>
      </c>
      <c r="G107" t="s">
        <v>28</v>
      </c>
      <c r="H107" t="s">
        <v>271</v>
      </c>
      <c r="I107">
        <v>0.5</v>
      </c>
      <c r="J107">
        <v>0</v>
      </c>
      <c r="K107">
        <v>15500</v>
      </c>
      <c r="L107">
        <v>5</v>
      </c>
      <c r="M107">
        <v>4</v>
      </c>
      <c r="N107" t="s">
        <v>23</v>
      </c>
      <c r="O107" t="s">
        <v>36</v>
      </c>
      <c r="P107" t="s">
        <v>23</v>
      </c>
    </row>
    <row r="108" spans="1:16" x14ac:dyDescent="0.2">
      <c r="A108" t="s">
        <v>272</v>
      </c>
      <c r="B108">
        <v>57</v>
      </c>
      <c r="C108" t="s">
        <v>43</v>
      </c>
      <c r="D108" t="s">
        <v>26</v>
      </c>
      <c r="E108" t="s">
        <v>98</v>
      </c>
      <c r="F108" t="s">
        <v>50</v>
      </c>
      <c r="G108" t="s">
        <v>21</v>
      </c>
      <c r="H108" t="s">
        <v>273</v>
      </c>
      <c r="I108">
        <v>9.9</v>
      </c>
      <c r="J108">
        <v>33</v>
      </c>
      <c r="K108">
        <v>16000</v>
      </c>
      <c r="L108">
        <v>4</v>
      </c>
      <c r="M108">
        <v>3</v>
      </c>
      <c r="N108" t="s">
        <v>23</v>
      </c>
      <c r="O108" t="s">
        <v>24</v>
      </c>
      <c r="P108" t="s">
        <v>23</v>
      </c>
    </row>
    <row r="109" spans="1:16" x14ac:dyDescent="0.2">
      <c r="A109" t="s">
        <v>274</v>
      </c>
      <c r="B109">
        <v>44</v>
      </c>
      <c r="C109" t="s">
        <v>43</v>
      </c>
      <c r="D109" t="s">
        <v>18</v>
      </c>
      <c r="E109" t="s">
        <v>160</v>
      </c>
      <c r="F109" t="s">
        <v>50</v>
      </c>
      <c r="G109" t="s">
        <v>21</v>
      </c>
      <c r="H109" t="s">
        <v>275</v>
      </c>
      <c r="I109">
        <v>2.2000000000000002</v>
      </c>
      <c r="J109">
        <v>19</v>
      </c>
      <c r="K109">
        <v>20100</v>
      </c>
      <c r="L109">
        <v>5</v>
      </c>
      <c r="M109">
        <v>3</v>
      </c>
      <c r="N109" t="s">
        <v>23</v>
      </c>
      <c r="O109" t="s">
        <v>24</v>
      </c>
      <c r="P109" t="s">
        <v>23</v>
      </c>
    </row>
    <row r="110" spans="1:16" x14ac:dyDescent="0.2">
      <c r="A110" t="s">
        <v>276</v>
      </c>
      <c r="B110">
        <v>43</v>
      </c>
      <c r="C110" t="s">
        <v>17</v>
      </c>
      <c r="D110" t="s">
        <v>26</v>
      </c>
      <c r="E110" t="s">
        <v>49</v>
      </c>
      <c r="F110" t="s">
        <v>34</v>
      </c>
      <c r="G110" t="s">
        <v>51</v>
      </c>
      <c r="H110" t="s">
        <v>277</v>
      </c>
      <c r="I110">
        <v>8.9</v>
      </c>
      <c r="J110">
        <v>22</v>
      </c>
      <c r="K110">
        <v>20100</v>
      </c>
      <c r="L110">
        <v>3</v>
      </c>
      <c r="M110">
        <v>3</v>
      </c>
      <c r="N110" t="s">
        <v>23</v>
      </c>
      <c r="O110" t="s">
        <v>24</v>
      </c>
      <c r="P110" t="s">
        <v>41</v>
      </c>
    </row>
    <row r="111" spans="1:16" x14ac:dyDescent="0.2">
      <c r="A111" t="s">
        <v>278</v>
      </c>
      <c r="B111">
        <v>23</v>
      </c>
      <c r="C111" t="s">
        <v>43</v>
      </c>
      <c r="D111" t="s">
        <v>26</v>
      </c>
      <c r="E111" t="s">
        <v>27</v>
      </c>
      <c r="F111" t="s">
        <v>20</v>
      </c>
      <c r="G111" t="s">
        <v>56</v>
      </c>
      <c r="H111" t="s">
        <v>279</v>
      </c>
      <c r="I111">
        <v>0.7</v>
      </c>
      <c r="J111">
        <v>0</v>
      </c>
      <c r="K111">
        <v>15100</v>
      </c>
      <c r="L111">
        <v>4</v>
      </c>
      <c r="M111">
        <v>3</v>
      </c>
      <c r="N111" t="s">
        <v>23</v>
      </c>
      <c r="O111" t="s">
        <v>80</v>
      </c>
      <c r="P111" t="s">
        <v>41</v>
      </c>
    </row>
    <row r="112" spans="1:16" x14ac:dyDescent="0.2">
      <c r="A112" t="s">
        <v>280</v>
      </c>
      <c r="B112">
        <v>28</v>
      </c>
      <c r="C112" t="s">
        <v>31</v>
      </c>
      <c r="D112" t="s">
        <v>18</v>
      </c>
      <c r="E112" t="s">
        <v>160</v>
      </c>
      <c r="F112" t="s">
        <v>34</v>
      </c>
      <c r="G112" t="s">
        <v>56</v>
      </c>
      <c r="H112" t="s">
        <v>281</v>
      </c>
      <c r="I112">
        <v>0.8</v>
      </c>
      <c r="J112">
        <v>1</v>
      </c>
      <c r="K112">
        <v>16000</v>
      </c>
      <c r="L112">
        <v>2</v>
      </c>
      <c r="M112">
        <v>3</v>
      </c>
      <c r="N112" t="s">
        <v>23</v>
      </c>
      <c r="O112" t="s">
        <v>36</v>
      </c>
      <c r="P112" t="s">
        <v>41</v>
      </c>
    </row>
    <row r="113" spans="1:16" x14ac:dyDescent="0.2">
      <c r="A113" t="s">
        <v>282</v>
      </c>
      <c r="B113">
        <v>30</v>
      </c>
      <c r="C113" t="s">
        <v>48</v>
      </c>
      <c r="D113" t="s">
        <v>54</v>
      </c>
      <c r="E113" t="s">
        <v>55</v>
      </c>
      <c r="F113" t="s">
        <v>20</v>
      </c>
      <c r="G113" t="s">
        <v>56</v>
      </c>
      <c r="H113" t="s">
        <v>283</v>
      </c>
      <c r="I113">
        <v>4.5999999999999996</v>
      </c>
      <c r="J113">
        <v>7</v>
      </c>
      <c r="K113">
        <v>10400</v>
      </c>
      <c r="L113">
        <v>3</v>
      </c>
      <c r="M113">
        <v>4</v>
      </c>
      <c r="N113" t="s">
        <v>41</v>
      </c>
      <c r="O113" t="s">
        <v>36</v>
      </c>
      <c r="P113" t="s">
        <v>23</v>
      </c>
    </row>
    <row r="114" spans="1:16" x14ac:dyDescent="0.2">
      <c r="A114" t="s">
        <v>284</v>
      </c>
      <c r="B114">
        <v>45</v>
      </c>
      <c r="C114" t="s">
        <v>43</v>
      </c>
      <c r="D114" t="s">
        <v>89</v>
      </c>
      <c r="E114" t="s">
        <v>93</v>
      </c>
      <c r="F114" t="s">
        <v>34</v>
      </c>
      <c r="G114" t="s">
        <v>21</v>
      </c>
      <c r="H114" t="s">
        <v>285</v>
      </c>
      <c r="I114">
        <v>10.1</v>
      </c>
      <c r="J114">
        <v>18</v>
      </c>
      <c r="K114">
        <v>11100</v>
      </c>
      <c r="L114">
        <v>3</v>
      </c>
      <c r="M114">
        <v>3</v>
      </c>
      <c r="N114" t="s">
        <v>23</v>
      </c>
      <c r="O114" t="s">
        <v>24</v>
      </c>
      <c r="P114" t="s">
        <v>23</v>
      </c>
    </row>
    <row r="115" spans="1:16" x14ac:dyDescent="0.2">
      <c r="A115" t="s">
        <v>286</v>
      </c>
      <c r="B115">
        <v>29</v>
      </c>
      <c r="C115" t="s">
        <v>43</v>
      </c>
      <c r="D115" t="s">
        <v>89</v>
      </c>
      <c r="E115" t="s">
        <v>90</v>
      </c>
      <c r="F115" t="s">
        <v>20</v>
      </c>
      <c r="G115" t="s">
        <v>21</v>
      </c>
      <c r="H115" t="s">
        <v>287</v>
      </c>
      <c r="I115">
        <v>3.8</v>
      </c>
      <c r="J115">
        <v>8</v>
      </c>
      <c r="K115">
        <v>11100</v>
      </c>
      <c r="L115">
        <v>4</v>
      </c>
      <c r="M115">
        <v>3</v>
      </c>
      <c r="N115" t="s">
        <v>23</v>
      </c>
      <c r="O115" t="s">
        <v>24</v>
      </c>
      <c r="P115" t="s">
        <v>23</v>
      </c>
    </row>
    <row r="116" spans="1:16" x14ac:dyDescent="0.2">
      <c r="A116" t="s">
        <v>288</v>
      </c>
      <c r="B116">
        <v>23</v>
      </c>
      <c r="C116" t="s">
        <v>31</v>
      </c>
      <c r="D116" t="s">
        <v>18</v>
      </c>
      <c r="E116" t="s">
        <v>160</v>
      </c>
      <c r="F116" t="s">
        <v>50</v>
      </c>
      <c r="G116" t="s">
        <v>21</v>
      </c>
      <c r="H116" t="s">
        <v>289</v>
      </c>
      <c r="I116">
        <v>0.3</v>
      </c>
      <c r="J116">
        <v>0</v>
      </c>
      <c r="K116">
        <v>15400</v>
      </c>
      <c r="L116">
        <v>5</v>
      </c>
      <c r="M116">
        <v>3</v>
      </c>
      <c r="N116" t="s">
        <v>23</v>
      </c>
      <c r="O116" t="s">
        <v>24</v>
      </c>
      <c r="P116" t="s">
        <v>23</v>
      </c>
    </row>
    <row r="117" spans="1:16" x14ac:dyDescent="0.2">
      <c r="A117" t="s">
        <v>290</v>
      </c>
      <c r="B117">
        <v>39</v>
      </c>
      <c r="C117" t="s">
        <v>31</v>
      </c>
      <c r="D117" t="s">
        <v>18</v>
      </c>
      <c r="E117" t="s">
        <v>127</v>
      </c>
      <c r="F117" t="s">
        <v>50</v>
      </c>
      <c r="G117" t="s">
        <v>45</v>
      </c>
      <c r="H117" t="s">
        <v>291</v>
      </c>
      <c r="I117">
        <v>1.1000000000000001</v>
      </c>
      <c r="J117">
        <v>16</v>
      </c>
      <c r="K117">
        <v>11400</v>
      </c>
      <c r="L117">
        <v>3</v>
      </c>
      <c r="M117">
        <v>2</v>
      </c>
      <c r="N117" t="s">
        <v>23</v>
      </c>
      <c r="O117" t="s">
        <v>36</v>
      </c>
      <c r="P117" t="s">
        <v>23</v>
      </c>
    </row>
    <row r="118" spans="1:16" x14ac:dyDescent="0.2">
      <c r="A118" t="s">
        <v>292</v>
      </c>
      <c r="B118">
        <v>44</v>
      </c>
      <c r="C118" t="s">
        <v>48</v>
      </c>
      <c r="D118" t="s">
        <v>38</v>
      </c>
      <c r="E118" t="s">
        <v>59</v>
      </c>
      <c r="F118" t="s">
        <v>20</v>
      </c>
      <c r="G118" t="s">
        <v>21</v>
      </c>
      <c r="H118" t="s">
        <v>293</v>
      </c>
      <c r="I118">
        <v>11.1</v>
      </c>
      <c r="J118">
        <v>17</v>
      </c>
      <c r="K118">
        <v>24700</v>
      </c>
      <c r="L118">
        <v>4</v>
      </c>
      <c r="M118">
        <v>2</v>
      </c>
      <c r="N118" t="s">
        <v>23</v>
      </c>
      <c r="O118" t="s">
        <v>36</v>
      </c>
      <c r="P118" t="s">
        <v>23</v>
      </c>
    </row>
    <row r="119" spans="1:16" x14ac:dyDescent="0.2">
      <c r="A119" t="s">
        <v>294</v>
      </c>
      <c r="B119">
        <v>40</v>
      </c>
      <c r="C119" t="s">
        <v>31</v>
      </c>
      <c r="D119" t="s">
        <v>32</v>
      </c>
      <c r="E119" t="s">
        <v>33</v>
      </c>
      <c r="F119" t="s">
        <v>50</v>
      </c>
      <c r="G119" t="s">
        <v>21</v>
      </c>
      <c r="H119" t="s">
        <v>295</v>
      </c>
      <c r="I119">
        <v>12.9</v>
      </c>
      <c r="J119">
        <v>16</v>
      </c>
      <c r="K119">
        <v>13000</v>
      </c>
      <c r="L119">
        <v>2</v>
      </c>
      <c r="M119">
        <v>3</v>
      </c>
      <c r="N119" t="s">
        <v>23</v>
      </c>
      <c r="O119" t="s">
        <v>36</v>
      </c>
      <c r="P119" t="s">
        <v>23</v>
      </c>
    </row>
    <row r="120" spans="1:16" x14ac:dyDescent="0.2">
      <c r="A120" t="s">
        <v>296</v>
      </c>
      <c r="B120">
        <v>44</v>
      </c>
      <c r="C120" t="s">
        <v>48</v>
      </c>
      <c r="D120" t="s">
        <v>54</v>
      </c>
      <c r="E120" t="s">
        <v>134</v>
      </c>
      <c r="F120" t="s">
        <v>50</v>
      </c>
      <c r="G120" t="s">
        <v>28</v>
      </c>
      <c r="H120" t="s">
        <v>297</v>
      </c>
      <c r="I120">
        <v>14.5</v>
      </c>
      <c r="J120">
        <v>19</v>
      </c>
      <c r="K120">
        <v>17000</v>
      </c>
      <c r="L120">
        <v>2</v>
      </c>
      <c r="M120">
        <v>4</v>
      </c>
      <c r="N120" t="s">
        <v>23</v>
      </c>
      <c r="O120" t="s">
        <v>24</v>
      </c>
      <c r="P120" t="s">
        <v>41</v>
      </c>
    </row>
    <row r="121" spans="1:16" x14ac:dyDescent="0.2">
      <c r="A121" t="s">
        <v>298</v>
      </c>
      <c r="B121">
        <v>59</v>
      </c>
      <c r="C121" t="s">
        <v>48</v>
      </c>
      <c r="D121" t="s">
        <v>89</v>
      </c>
      <c r="E121" t="s">
        <v>93</v>
      </c>
      <c r="F121" t="s">
        <v>20</v>
      </c>
      <c r="G121" t="s">
        <v>21</v>
      </c>
      <c r="H121" t="s">
        <v>299</v>
      </c>
      <c r="I121">
        <v>14.5</v>
      </c>
      <c r="J121">
        <v>37</v>
      </c>
      <c r="K121">
        <v>13500</v>
      </c>
      <c r="L121">
        <v>3</v>
      </c>
      <c r="M121">
        <v>4</v>
      </c>
      <c r="N121" t="s">
        <v>23</v>
      </c>
      <c r="O121" t="s">
        <v>24</v>
      </c>
      <c r="P121" t="s">
        <v>23</v>
      </c>
    </row>
    <row r="122" spans="1:16" x14ac:dyDescent="0.2">
      <c r="A122" t="s">
        <v>300</v>
      </c>
      <c r="B122">
        <v>52</v>
      </c>
      <c r="C122" t="s">
        <v>31</v>
      </c>
      <c r="D122" t="s">
        <v>54</v>
      </c>
      <c r="E122" t="s">
        <v>55</v>
      </c>
      <c r="F122" t="s">
        <v>20</v>
      </c>
      <c r="G122" t="s">
        <v>21</v>
      </c>
      <c r="H122" t="s">
        <v>301</v>
      </c>
      <c r="I122">
        <v>8.3000000000000007</v>
      </c>
      <c r="J122">
        <v>27</v>
      </c>
      <c r="K122">
        <v>13800</v>
      </c>
      <c r="L122">
        <v>2</v>
      </c>
      <c r="M122">
        <v>4</v>
      </c>
      <c r="N122" t="s">
        <v>23</v>
      </c>
      <c r="O122" t="s">
        <v>24</v>
      </c>
      <c r="P122" t="s">
        <v>23</v>
      </c>
    </row>
    <row r="123" spans="1:16" x14ac:dyDescent="0.2">
      <c r="A123" t="s">
        <v>302</v>
      </c>
      <c r="B123">
        <v>49</v>
      </c>
      <c r="C123" t="s">
        <v>48</v>
      </c>
      <c r="D123" t="s">
        <v>26</v>
      </c>
      <c r="E123" t="s">
        <v>67</v>
      </c>
      <c r="F123" t="s">
        <v>50</v>
      </c>
      <c r="G123" t="s">
        <v>45</v>
      </c>
      <c r="H123" t="s">
        <v>303</v>
      </c>
      <c r="I123">
        <v>9.5</v>
      </c>
      <c r="J123">
        <v>27</v>
      </c>
      <c r="K123">
        <v>13500</v>
      </c>
      <c r="L123">
        <v>5</v>
      </c>
      <c r="M123">
        <v>5</v>
      </c>
      <c r="N123" t="s">
        <v>23</v>
      </c>
      <c r="O123" t="s">
        <v>36</v>
      </c>
      <c r="P123" t="s">
        <v>23</v>
      </c>
    </row>
    <row r="124" spans="1:16" x14ac:dyDescent="0.2">
      <c r="A124" t="s">
        <v>304</v>
      </c>
      <c r="B124">
        <v>44</v>
      </c>
      <c r="C124" t="s">
        <v>31</v>
      </c>
      <c r="D124" t="s">
        <v>18</v>
      </c>
      <c r="E124" t="s">
        <v>127</v>
      </c>
      <c r="F124" t="s">
        <v>34</v>
      </c>
      <c r="G124" t="s">
        <v>45</v>
      </c>
      <c r="H124" t="s">
        <v>305</v>
      </c>
      <c r="I124">
        <v>4.8</v>
      </c>
      <c r="J124">
        <v>19</v>
      </c>
      <c r="K124">
        <v>10000</v>
      </c>
      <c r="L124">
        <v>4</v>
      </c>
      <c r="M124">
        <v>3</v>
      </c>
      <c r="N124" t="s">
        <v>23</v>
      </c>
      <c r="O124" t="s">
        <v>24</v>
      </c>
      <c r="P124" t="s">
        <v>23</v>
      </c>
    </row>
    <row r="125" spans="1:16" x14ac:dyDescent="0.2">
      <c r="A125" t="s">
        <v>306</v>
      </c>
      <c r="B125">
        <v>25</v>
      </c>
      <c r="C125" t="s">
        <v>17</v>
      </c>
      <c r="D125" t="s">
        <v>89</v>
      </c>
      <c r="E125" t="s">
        <v>93</v>
      </c>
      <c r="F125" t="s">
        <v>50</v>
      </c>
      <c r="G125" t="s">
        <v>28</v>
      </c>
      <c r="H125" t="s">
        <v>307</v>
      </c>
      <c r="I125">
        <v>2.2000000000000002</v>
      </c>
      <c r="J125">
        <v>2</v>
      </c>
      <c r="K125">
        <v>7600</v>
      </c>
      <c r="L125">
        <v>3</v>
      </c>
      <c r="M125">
        <v>4</v>
      </c>
      <c r="N125" t="s">
        <v>23</v>
      </c>
      <c r="O125" t="s">
        <v>24</v>
      </c>
      <c r="P125" t="s">
        <v>23</v>
      </c>
    </row>
    <row r="126" spans="1:16" x14ac:dyDescent="0.2">
      <c r="A126" t="s">
        <v>308</v>
      </c>
      <c r="B126">
        <v>29</v>
      </c>
      <c r="C126" t="s">
        <v>17</v>
      </c>
      <c r="D126" t="s">
        <v>18</v>
      </c>
      <c r="E126" t="s">
        <v>199</v>
      </c>
      <c r="F126" t="s">
        <v>34</v>
      </c>
      <c r="G126" t="s">
        <v>45</v>
      </c>
      <c r="H126" t="s">
        <v>309</v>
      </c>
      <c r="I126">
        <v>3</v>
      </c>
      <c r="J126">
        <v>2</v>
      </c>
      <c r="K126">
        <v>11700</v>
      </c>
      <c r="L126">
        <v>2</v>
      </c>
      <c r="M126">
        <v>5</v>
      </c>
      <c r="N126" t="s">
        <v>23</v>
      </c>
      <c r="O126" t="s">
        <v>80</v>
      </c>
      <c r="P126" t="s">
        <v>41</v>
      </c>
    </row>
    <row r="127" spans="1:16" x14ac:dyDescent="0.2">
      <c r="A127" t="s">
        <v>310</v>
      </c>
      <c r="B127">
        <v>31</v>
      </c>
      <c r="C127" t="s">
        <v>48</v>
      </c>
      <c r="D127" t="s">
        <v>32</v>
      </c>
      <c r="E127" t="s">
        <v>104</v>
      </c>
      <c r="F127" t="s">
        <v>20</v>
      </c>
      <c r="G127" t="s">
        <v>51</v>
      </c>
      <c r="H127" t="s">
        <v>207</v>
      </c>
      <c r="I127">
        <v>7.6</v>
      </c>
      <c r="J127">
        <v>8</v>
      </c>
      <c r="K127">
        <v>13300</v>
      </c>
      <c r="L127">
        <v>5</v>
      </c>
      <c r="M127">
        <v>3</v>
      </c>
      <c r="N127" t="s">
        <v>23</v>
      </c>
      <c r="O127" t="s">
        <v>24</v>
      </c>
      <c r="P127" t="s">
        <v>23</v>
      </c>
    </row>
    <row r="128" spans="1:16" x14ac:dyDescent="0.2">
      <c r="A128" t="s">
        <v>311</v>
      </c>
      <c r="B128">
        <v>53</v>
      </c>
      <c r="C128" t="s">
        <v>17</v>
      </c>
      <c r="D128" t="s">
        <v>89</v>
      </c>
      <c r="E128" t="s">
        <v>93</v>
      </c>
      <c r="F128" t="s">
        <v>20</v>
      </c>
      <c r="G128" t="s">
        <v>21</v>
      </c>
      <c r="H128" t="s">
        <v>312</v>
      </c>
      <c r="I128">
        <v>3.7</v>
      </c>
      <c r="J128">
        <v>27</v>
      </c>
      <c r="K128">
        <v>12500</v>
      </c>
      <c r="L128">
        <v>2</v>
      </c>
      <c r="M128">
        <v>4</v>
      </c>
      <c r="N128" t="s">
        <v>23</v>
      </c>
      <c r="O128" t="s">
        <v>36</v>
      </c>
      <c r="P128" t="s">
        <v>23</v>
      </c>
    </row>
    <row r="129" spans="1:16" x14ac:dyDescent="0.2">
      <c r="A129" t="s">
        <v>313</v>
      </c>
      <c r="B129">
        <v>34</v>
      </c>
      <c r="C129" t="s">
        <v>31</v>
      </c>
      <c r="D129" t="s">
        <v>54</v>
      </c>
      <c r="E129" t="s">
        <v>64</v>
      </c>
      <c r="F129" t="s">
        <v>20</v>
      </c>
      <c r="G129" t="s">
        <v>28</v>
      </c>
      <c r="H129" t="s">
        <v>314</v>
      </c>
      <c r="I129">
        <v>6.2</v>
      </c>
      <c r="J129">
        <v>7</v>
      </c>
      <c r="K129">
        <v>12000</v>
      </c>
      <c r="L129">
        <v>4</v>
      </c>
      <c r="M129">
        <v>3</v>
      </c>
      <c r="N129" t="s">
        <v>23</v>
      </c>
      <c r="O129" t="s">
        <v>24</v>
      </c>
      <c r="P129" t="s">
        <v>23</v>
      </c>
    </row>
    <row r="130" spans="1:16" x14ac:dyDescent="0.2">
      <c r="A130" t="s">
        <v>315</v>
      </c>
      <c r="B130">
        <v>25</v>
      </c>
      <c r="C130" t="s">
        <v>48</v>
      </c>
      <c r="D130" t="s">
        <v>32</v>
      </c>
      <c r="E130" t="s">
        <v>149</v>
      </c>
      <c r="F130" t="s">
        <v>34</v>
      </c>
      <c r="G130" t="s">
        <v>51</v>
      </c>
      <c r="H130" t="s">
        <v>316</v>
      </c>
      <c r="I130">
        <v>0.1</v>
      </c>
      <c r="J130">
        <v>0</v>
      </c>
      <c r="K130">
        <v>18600</v>
      </c>
      <c r="L130">
        <v>3</v>
      </c>
      <c r="M130">
        <v>3</v>
      </c>
      <c r="N130" t="s">
        <v>23</v>
      </c>
      <c r="O130" t="s">
        <v>24</v>
      </c>
      <c r="P130" t="s">
        <v>23</v>
      </c>
    </row>
    <row r="131" spans="1:16" x14ac:dyDescent="0.2">
      <c r="A131" t="s">
        <v>317</v>
      </c>
      <c r="B131">
        <v>44</v>
      </c>
      <c r="C131" t="s">
        <v>31</v>
      </c>
      <c r="D131" t="s">
        <v>38</v>
      </c>
      <c r="E131" t="s">
        <v>76</v>
      </c>
      <c r="F131" t="s">
        <v>34</v>
      </c>
      <c r="G131" t="s">
        <v>28</v>
      </c>
      <c r="H131" t="s">
        <v>318</v>
      </c>
      <c r="I131">
        <v>12</v>
      </c>
      <c r="J131">
        <v>19</v>
      </c>
      <c r="K131">
        <v>18000</v>
      </c>
      <c r="L131">
        <v>3</v>
      </c>
      <c r="M131">
        <v>2</v>
      </c>
      <c r="N131" t="s">
        <v>23</v>
      </c>
      <c r="O131" t="s">
        <v>24</v>
      </c>
      <c r="P131" t="s">
        <v>41</v>
      </c>
    </row>
    <row r="132" spans="1:16" x14ac:dyDescent="0.2">
      <c r="A132" t="s">
        <v>319</v>
      </c>
      <c r="B132">
        <v>41</v>
      </c>
      <c r="C132" t="s">
        <v>31</v>
      </c>
      <c r="D132" t="s">
        <v>26</v>
      </c>
      <c r="E132" t="s">
        <v>27</v>
      </c>
      <c r="F132" t="s">
        <v>34</v>
      </c>
      <c r="G132" t="s">
        <v>28</v>
      </c>
      <c r="H132" t="s">
        <v>57</v>
      </c>
      <c r="I132">
        <v>6.8</v>
      </c>
      <c r="J132">
        <v>16</v>
      </c>
      <c r="K132">
        <v>18100</v>
      </c>
      <c r="L132">
        <v>3</v>
      </c>
      <c r="M132">
        <v>3</v>
      </c>
      <c r="N132" t="s">
        <v>23</v>
      </c>
      <c r="O132" t="s">
        <v>24</v>
      </c>
      <c r="P132" t="s">
        <v>41</v>
      </c>
    </row>
    <row r="133" spans="1:16" x14ac:dyDescent="0.2">
      <c r="A133" t="s">
        <v>320</v>
      </c>
      <c r="B133">
        <v>58</v>
      </c>
      <c r="C133" t="s">
        <v>17</v>
      </c>
      <c r="D133" t="s">
        <v>26</v>
      </c>
      <c r="E133" t="s">
        <v>27</v>
      </c>
      <c r="F133" t="s">
        <v>50</v>
      </c>
      <c r="G133" t="s">
        <v>45</v>
      </c>
      <c r="H133" t="s">
        <v>321</v>
      </c>
      <c r="I133">
        <v>1.1000000000000001</v>
      </c>
      <c r="J133">
        <v>35</v>
      </c>
      <c r="K133">
        <v>22000</v>
      </c>
      <c r="L133">
        <v>3</v>
      </c>
      <c r="M133">
        <v>5</v>
      </c>
      <c r="N133" t="s">
        <v>23</v>
      </c>
      <c r="O133" t="s">
        <v>24</v>
      </c>
      <c r="P133" t="s">
        <v>23</v>
      </c>
    </row>
    <row r="134" spans="1:16" x14ac:dyDescent="0.2">
      <c r="A134" t="s">
        <v>322</v>
      </c>
      <c r="B134">
        <v>46</v>
      </c>
      <c r="C134" t="s">
        <v>48</v>
      </c>
      <c r="D134" t="s">
        <v>32</v>
      </c>
      <c r="E134" t="s">
        <v>33</v>
      </c>
      <c r="F134" t="s">
        <v>34</v>
      </c>
      <c r="G134" t="s">
        <v>56</v>
      </c>
      <c r="H134" t="s">
        <v>323</v>
      </c>
      <c r="I134">
        <v>1</v>
      </c>
      <c r="J134">
        <v>23</v>
      </c>
      <c r="K134">
        <v>12700</v>
      </c>
      <c r="L134">
        <v>4</v>
      </c>
      <c r="M134">
        <v>3</v>
      </c>
      <c r="N134" t="s">
        <v>23</v>
      </c>
      <c r="O134" t="s">
        <v>24</v>
      </c>
      <c r="P134" t="s">
        <v>23</v>
      </c>
    </row>
    <row r="135" spans="1:16" x14ac:dyDescent="0.2">
      <c r="A135" t="s">
        <v>324</v>
      </c>
      <c r="B135">
        <v>27</v>
      </c>
      <c r="C135" t="s">
        <v>17</v>
      </c>
      <c r="D135" t="s">
        <v>54</v>
      </c>
      <c r="E135" t="s">
        <v>55</v>
      </c>
      <c r="F135" t="s">
        <v>20</v>
      </c>
      <c r="G135" t="s">
        <v>21</v>
      </c>
      <c r="H135" t="s">
        <v>325</v>
      </c>
      <c r="I135">
        <v>2</v>
      </c>
      <c r="J135">
        <v>3</v>
      </c>
      <c r="K135">
        <v>8500</v>
      </c>
      <c r="L135">
        <v>4</v>
      </c>
      <c r="M135">
        <v>3</v>
      </c>
      <c r="N135" t="s">
        <v>41</v>
      </c>
      <c r="O135" t="s">
        <v>36</v>
      </c>
      <c r="P135" t="s">
        <v>23</v>
      </c>
    </row>
    <row r="136" spans="1:16" x14ac:dyDescent="0.2">
      <c r="A136" t="s">
        <v>326</v>
      </c>
      <c r="B136">
        <v>51</v>
      </c>
      <c r="C136" t="s">
        <v>48</v>
      </c>
      <c r="D136" t="s">
        <v>26</v>
      </c>
      <c r="E136" t="s">
        <v>98</v>
      </c>
      <c r="F136" t="s">
        <v>34</v>
      </c>
      <c r="G136" t="s">
        <v>51</v>
      </c>
      <c r="H136" t="s">
        <v>327</v>
      </c>
      <c r="I136">
        <v>9.8000000000000007</v>
      </c>
      <c r="J136">
        <v>26</v>
      </c>
      <c r="K136">
        <v>16100</v>
      </c>
      <c r="L136">
        <v>5</v>
      </c>
      <c r="M136">
        <v>2</v>
      </c>
      <c r="N136" t="s">
        <v>23</v>
      </c>
      <c r="O136" t="s">
        <v>24</v>
      </c>
      <c r="P136" t="s">
        <v>23</v>
      </c>
    </row>
    <row r="137" spans="1:16" x14ac:dyDescent="0.2">
      <c r="A137" t="s">
        <v>328</v>
      </c>
      <c r="B137">
        <v>57</v>
      </c>
      <c r="C137" t="s">
        <v>17</v>
      </c>
      <c r="D137" t="s">
        <v>89</v>
      </c>
      <c r="E137" t="s">
        <v>101</v>
      </c>
      <c r="F137" t="s">
        <v>34</v>
      </c>
      <c r="G137" t="s">
        <v>28</v>
      </c>
      <c r="H137" t="s">
        <v>329</v>
      </c>
      <c r="I137">
        <v>10.199999999999999</v>
      </c>
      <c r="J137">
        <v>34</v>
      </c>
      <c r="K137">
        <v>19600</v>
      </c>
      <c r="L137">
        <v>3</v>
      </c>
      <c r="M137">
        <v>4</v>
      </c>
      <c r="N137" t="s">
        <v>23</v>
      </c>
      <c r="O137" t="s">
        <v>36</v>
      </c>
      <c r="P137" t="s">
        <v>23</v>
      </c>
    </row>
    <row r="138" spans="1:16" x14ac:dyDescent="0.2">
      <c r="A138" t="s">
        <v>330</v>
      </c>
      <c r="B138">
        <v>24</v>
      </c>
      <c r="C138" t="s">
        <v>17</v>
      </c>
      <c r="D138" t="s">
        <v>32</v>
      </c>
      <c r="E138" t="s">
        <v>104</v>
      </c>
      <c r="F138" t="s">
        <v>34</v>
      </c>
      <c r="G138" t="s">
        <v>21</v>
      </c>
      <c r="H138" t="s">
        <v>331</v>
      </c>
      <c r="I138">
        <v>0.7</v>
      </c>
      <c r="J138">
        <v>0</v>
      </c>
      <c r="K138">
        <v>12500</v>
      </c>
      <c r="L138">
        <v>4</v>
      </c>
      <c r="M138">
        <v>4</v>
      </c>
      <c r="N138" t="s">
        <v>23</v>
      </c>
      <c r="O138" t="s">
        <v>24</v>
      </c>
      <c r="P138" t="s">
        <v>23</v>
      </c>
    </row>
    <row r="139" spans="1:16" x14ac:dyDescent="0.2">
      <c r="A139" t="s">
        <v>332</v>
      </c>
      <c r="B139">
        <v>49</v>
      </c>
      <c r="C139" t="s">
        <v>17</v>
      </c>
      <c r="D139" t="s">
        <v>26</v>
      </c>
      <c r="E139" t="s">
        <v>67</v>
      </c>
      <c r="F139" t="s">
        <v>34</v>
      </c>
      <c r="G139" t="s">
        <v>45</v>
      </c>
      <c r="H139" t="s">
        <v>333</v>
      </c>
      <c r="I139">
        <v>9</v>
      </c>
      <c r="J139">
        <v>26</v>
      </c>
      <c r="K139">
        <v>12200</v>
      </c>
      <c r="L139">
        <v>4</v>
      </c>
      <c r="M139">
        <v>3</v>
      </c>
      <c r="N139" t="s">
        <v>23</v>
      </c>
      <c r="O139" t="s">
        <v>80</v>
      </c>
      <c r="P139" t="s">
        <v>23</v>
      </c>
    </row>
    <row r="140" spans="1:16" x14ac:dyDescent="0.2">
      <c r="A140" t="s">
        <v>334</v>
      </c>
      <c r="B140">
        <v>56</v>
      </c>
      <c r="C140" t="s">
        <v>48</v>
      </c>
      <c r="D140" t="s">
        <v>89</v>
      </c>
      <c r="E140" t="s">
        <v>142</v>
      </c>
      <c r="F140" t="s">
        <v>34</v>
      </c>
      <c r="G140" t="s">
        <v>28</v>
      </c>
      <c r="H140" t="s">
        <v>335</v>
      </c>
      <c r="I140">
        <v>14.2</v>
      </c>
      <c r="J140">
        <v>33</v>
      </c>
      <c r="K140">
        <v>16300</v>
      </c>
      <c r="L140">
        <v>3</v>
      </c>
      <c r="M140">
        <v>5</v>
      </c>
      <c r="N140" t="s">
        <v>23</v>
      </c>
      <c r="O140" t="s">
        <v>24</v>
      </c>
      <c r="P140" t="s">
        <v>23</v>
      </c>
    </row>
    <row r="141" spans="1:16" x14ac:dyDescent="0.2">
      <c r="A141" t="s">
        <v>336</v>
      </c>
      <c r="B141">
        <v>38</v>
      </c>
      <c r="C141" t="s">
        <v>48</v>
      </c>
      <c r="D141" t="s">
        <v>26</v>
      </c>
      <c r="E141" t="s">
        <v>27</v>
      </c>
      <c r="F141" t="s">
        <v>50</v>
      </c>
      <c r="G141" t="s">
        <v>21</v>
      </c>
      <c r="H141" t="s">
        <v>337</v>
      </c>
      <c r="I141">
        <v>6.4</v>
      </c>
      <c r="J141">
        <v>13</v>
      </c>
      <c r="K141">
        <v>18100</v>
      </c>
      <c r="L141">
        <v>4</v>
      </c>
      <c r="M141">
        <v>4</v>
      </c>
      <c r="N141" t="s">
        <v>23</v>
      </c>
      <c r="O141" t="s">
        <v>24</v>
      </c>
      <c r="P141" t="s">
        <v>23</v>
      </c>
    </row>
    <row r="142" spans="1:16" x14ac:dyDescent="0.2">
      <c r="A142" t="s">
        <v>338</v>
      </c>
      <c r="B142">
        <v>46</v>
      </c>
      <c r="C142" t="s">
        <v>48</v>
      </c>
      <c r="D142" t="s">
        <v>89</v>
      </c>
      <c r="E142" t="s">
        <v>101</v>
      </c>
      <c r="F142" t="s">
        <v>34</v>
      </c>
      <c r="G142" t="s">
        <v>28</v>
      </c>
      <c r="H142" t="s">
        <v>339</v>
      </c>
      <c r="I142">
        <v>7.4</v>
      </c>
      <c r="J142">
        <v>19</v>
      </c>
      <c r="K142">
        <v>17400</v>
      </c>
      <c r="L142">
        <v>3</v>
      </c>
      <c r="M142">
        <v>3</v>
      </c>
      <c r="N142" t="s">
        <v>23</v>
      </c>
      <c r="O142" t="s">
        <v>24</v>
      </c>
      <c r="P142" t="s">
        <v>23</v>
      </c>
    </row>
    <row r="143" spans="1:16" x14ac:dyDescent="0.2">
      <c r="A143" t="s">
        <v>340</v>
      </c>
      <c r="B143">
        <v>55</v>
      </c>
      <c r="C143" t="s">
        <v>43</v>
      </c>
      <c r="D143" t="s">
        <v>26</v>
      </c>
      <c r="E143" t="s">
        <v>27</v>
      </c>
      <c r="F143" t="s">
        <v>34</v>
      </c>
      <c r="G143" t="s">
        <v>45</v>
      </c>
      <c r="H143" t="s">
        <v>341</v>
      </c>
      <c r="I143">
        <v>12</v>
      </c>
      <c r="J143">
        <v>32</v>
      </c>
      <c r="K143">
        <v>21400</v>
      </c>
      <c r="L143">
        <v>2</v>
      </c>
      <c r="M143">
        <v>4</v>
      </c>
      <c r="N143" t="s">
        <v>23</v>
      </c>
      <c r="O143" t="s">
        <v>24</v>
      </c>
      <c r="P143" t="s">
        <v>23</v>
      </c>
    </row>
    <row r="144" spans="1:16" x14ac:dyDescent="0.2">
      <c r="A144" t="s">
        <v>342</v>
      </c>
      <c r="B144">
        <v>47</v>
      </c>
      <c r="C144" t="s">
        <v>31</v>
      </c>
      <c r="D144" t="s">
        <v>54</v>
      </c>
      <c r="E144" t="s">
        <v>82</v>
      </c>
      <c r="F144" t="s">
        <v>50</v>
      </c>
      <c r="G144" t="s">
        <v>45</v>
      </c>
      <c r="H144" t="s">
        <v>343</v>
      </c>
      <c r="I144">
        <v>10.1</v>
      </c>
      <c r="J144">
        <v>24</v>
      </c>
      <c r="K144">
        <v>12400</v>
      </c>
      <c r="L144">
        <v>4</v>
      </c>
      <c r="M144">
        <v>1</v>
      </c>
      <c r="N144" t="s">
        <v>23</v>
      </c>
      <c r="O144" t="s">
        <v>80</v>
      </c>
      <c r="P144" t="s">
        <v>23</v>
      </c>
    </row>
    <row r="145" spans="1:16" x14ac:dyDescent="0.2">
      <c r="A145" t="s">
        <v>344</v>
      </c>
      <c r="B145">
        <v>39</v>
      </c>
      <c r="C145" t="s">
        <v>43</v>
      </c>
      <c r="D145" t="s">
        <v>32</v>
      </c>
      <c r="E145" t="s">
        <v>33</v>
      </c>
      <c r="F145" t="s">
        <v>50</v>
      </c>
      <c r="G145" t="s">
        <v>45</v>
      </c>
      <c r="H145" t="s">
        <v>345</v>
      </c>
      <c r="I145">
        <v>1.3</v>
      </c>
      <c r="J145">
        <v>13</v>
      </c>
      <c r="K145">
        <v>11100</v>
      </c>
      <c r="L145">
        <v>4</v>
      </c>
      <c r="M145">
        <v>3</v>
      </c>
      <c r="N145" t="s">
        <v>23</v>
      </c>
      <c r="O145" t="s">
        <v>36</v>
      </c>
      <c r="P145" t="s">
        <v>41</v>
      </c>
    </row>
    <row r="146" spans="1:16" x14ac:dyDescent="0.2">
      <c r="A146" t="s">
        <v>346</v>
      </c>
      <c r="B146">
        <v>52</v>
      </c>
      <c r="C146" t="s">
        <v>31</v>
      </c>
      <c r="D146" t="s">
        <v>54</v>
      </c>
      <c r="E146" t="s">
        <v>134</v>
      </c>
      <c r="F146" t="s">
        <v>20</v>
      </c>
      <c r="G146" t="s">
        <v>56</v>
      </c>
      <c r="H146" t="s">
        <v>347</v>
      </c>
      <c r="I146">
        <v>6.2</v>
      </c>
      <c r="J146">
        <v>30</v>
      </c>
      <c r="K146">
        <v>19000</v>
      </c>
      <c r="L146">
        <v>1</v>
      </c>
      <c r="M146">
        <v>4</v>
      </c>
      <c r="N146" t="s">
        <v>41</v>
      </c>
      <c r="O146" t="s">
        <v>80</v>
      </c>
      <c r="P146" t="s">
        <v>23</v>
      </c>
    </row>
    <row r="147" spans="1:16" x14ac:dyDescent="0.2">
      <c r="A147" t="s">
        <v>348</v>
      </c>
      <c r="B147">
        <v>33</v>
      </c>
      <c r="C147" t="s">
        <v>48</v>
      </c>
      <c r="D147" t="s">
        <v>38</v>
      </c>
      <c r="E147" t="s">
        <v>44</v>
      </c>
      <c r="F147" t="s">
        <v>34</v>
      </c>
      <c r="G147" t="s">
        <v>45</v>
      </c>
      <c r="H147" t="s">
        <v>349</v>
      </c>
      <c r="I147">
        <v>1.2</v>
      </c>
      <c r="J147">
        <v>6</v>
      </c>
      <c r="K147">
        <v>15000</v>
      </c>
      <c r="L147">
        <v>4</v>
      </c>
      <c r="M147">
        <v>4</v>
      </c>
      <c r="N147" t="s">
        <v>23</v>
      </c>
      <c r="O147" t="s">
        <v>24</v>
      </c>
      <c r="P147" t="s">
        <v>23</v>
      </c>
    </row>
    <row r="148" spans="1:16" x14ac:dyDescent="0.2">
      <c r="A148" t="s">
        <v>350</v>
      </c>
      <c r="B148">
        <v>48</v>
      </c>
      <c r="C148" t="s">
        <v>48</v>
      </c>
      <c r="D148" t="s">
        <v>26</v>
      </c>
      <c r="E148" t="s">
        <v>49</v>
      </c>
      <c r="F148" t="s">
        <v>50</v>
      </c>
      <c r="G148" t="s">
        <v>45</v>
      </c>
      <c r="H148" t="s">
        <v>351</v>
      </c>
      <c r="I148">
        <v>7</v>
      </c>
      <c r="J148">
        <v>23</v>
      </c>
      <c r="K148">
        <v>20300</v>
      </c>
      <c r="L148">
        <v>4</v>
      </c>
      <c r="M148">
        <v>3</v>
      </c>
      <c r="N148" t="s">
        <v>41</v>
      </c>
      <c r="O148" t="s">
        <v>24</v>
      </c>
      <c r="P148" t="s">
        <v>23</v>
      </c>
    </row>
    <row r="149" spans="1:16" x14ac:dyDescent="0.2">
      <c r="A149" t="s">
        <v>352</v>
      </c>
      <c r="B149">
        <v>42</v>
      </c>
      <c r="C149" t="s">
        <v>48</v>
      </c>
      <c r="D149" t="s">
        <v>38</v>
      </c>
      <c r="E149" t="s">
        <v>44</v>
      </c>
      <c r="F149" t="s">
        <v>20</v>
      </c>
      <c r="G149" t="s">
        <v>28</v>
      </c>
      <c r="H149" t="s">
        <v>353</v>
      </c>
      <c r="I149">
        <v>12.5</v>
      </c>
      <c r="J149">
        <v>19</v>
      </c>
      <c r="K149">
        <v>19100</v>
      </c>
      <c r="L149">
        <v>1</v>
      </c>
      <c r="M149">
        <v>4</v>
      </c>
      <c r="N149" t="s">
        <v>23</v>
      </c>
      <c r="O149" t="s">
        <v>24</v>
      </c>
      <c r="P149" t="s">
        <v>41</v>
      </c>
    </row>
    <row r="150" spans="1:16" x14ac:dyDescent="0.2">
      <c r="A150" t="s">
        <v>354</v>
      </c>
      <c r="B150">
        <v>28</v>
      </c>
      <c r="C150" t="s">
        <v>48</v>
      </c>
      <c r="D150" t="s">
        <v>18</v>
      </c>
      <c r="E150" t="s">
        <v>199</v>
      </c>
      <c r="F150" t="s">
        <v>50</v>
      </c>
      <c r="G150" t="s">
        <v>56</v>
      </c>
      <c r="H150" t="s">
        <v>355</v>
      </c>
      <c r="I150">
        <v>1.6</v>
      </c>
      <c r="J150">
        <v>2</v>
      </c>
      <c r="K150">
        <v>11800</v>
      </c>
      <c r="L150">
        <v>2</v>
      </c>
      <c r="M150">
        <v>5</v>
      </c>
      <c r="N150" t="s">
        <v>23</v>
      </c>
      <c r="O150" t="s">
        <v>24</v>
      </c>
      <c r="P150" t="s">
        <v>23</v>
      </c>
    </row>
    <row r="151" spans="1:16" x14ac:dyDescent="0.2">
      <c r="A151" t="s">
        <v>356</v>
      </c>
      <c r="B151">
        <v>36</v>
      </c>
      <c r="C151" t="s">
        <v>43</v>
      </c>
      <c r="D151" t="s">
        <v>38</v>
      </c>
      <c r="E151" t="s">
        <v>76</v>
      </c>
      <c r="F151" t="s">
        <v>34</v>
      </c>
      <c r="G151" t="s">
        <v>56</v>
      </c>
      <c r="H151" t="s">
        <v>357</v>
      </c>
      <c r="I151">
        <v>1.8</v>
      </c>
      <c r="J151">
        <v>10</v>
      </c>
      <c r="K151">
        <v>16900</v>
      </c>
      <c r="L151">
        <v>3</v>
      </c>
      <c r="M151">
        <v>3</v>
      </c>
      <c r="N151" t="s">
        <v>23</v>
      </c>
      <c r="O151" t="s">
        <v>24</v>
      </c>
      <c r="P151" t="s">
        <v>23</v>
      </c>
    </row>
    <row r="152" spans="1:16" x14ac:dyDescent="0.2">
      <c r="A152" t="s">
        <v>358</v>
      </c>
      <c r="B152">
        <v>41</v>
      </c>
      <c r="C152" t="s">
        <v>17</v>
      </c>
      <c r="D152" t="s">
        <v>26</v>
      </c>
      <c r="E152" t="s">
        <v>27</v>
      </c>
      <c r="F152" t="s">
        <v>50</v>
      </c>
      <c r="G152" t="s">
        <v>45</v>
      </c>
      <c r="H152" t="s">
        <v>359</v>
      </c>
      <c r="I152">
        <v>11.2</v>
      </c>
      <c r="J152">
        <v>14</v>
      </c>
      <c r="K152">
        <v>17500</v>
      </c>
      <c r="L152">
        <v>4</v>
      </c>
      <c r="M152">
        <v>4</v>
      </c>
      <c r="N152" t="s">
        <v>23</v>
      </c>
      <c r="O152" t="s">
        <v>36</v>
      </c>
      <c r="P152" t="s">
        <v>23</v>
      </c>
    </row>
    <row r="153" spans="1:16" x14ac:dyDescent="0.2">
      <c r="A153" t="s">
        <v>360</v>
      </c>
      <c r="B153">
        <v>50</v>
      </c>
      <c r="C153" t="s">
        <v>43</v>
      </c>
      <c r="D153" t="s">
        <v>89</v>
      </c>
      <c r="E153" t="s">
        <v>101</v>
      </c>
      <c r="F153" t="s">
        <v>34</v>
      </c>
      <c r="G153" t="s">
        <v>21</v>
      </c>
      <c r="H153" t="s">
        <v>361</v>
      </c>
      <c r="I153">
        <v>1.2</v>
      </c>
      <c r="J153">
        <v>25</v>
      </c>
      <c r="K153">
        <v>19800</v>
      </c>
      <c r="L153">
        <v>4</v>
      </c>
      <c r="M153">
        <v>3</v>
      </c>
      <c r="N153" t="s">
        <v>41</v>
      </c>
      <c r="O153" t="s">
        <v>24</v>
      </c>
      <c r="P153" t="s">
        <v>41</v>
      </c>
    </row>
    <row r="154" spans="1:16" x14ac:dyDescent="0.2">
      <c r="A154" t="s">
        <v>362</v>
      </c>
      <c r="B154">
        <v>43</v>
      </c>
      <c r="C154" t="s">
        <v>43</v>
      </c>
      <c r="D154" t="s">
        <v>54</v>
      </c>
      <c r="E154" t="s">
        <v>134</v>
      </c>
      <c r="F154" t="s">
        <v>34</v>
      </c>
      <c r="G154" t="s">
        <v>28</v>
      </c>
      <c r="H154" t="s">
        <v>363</v>
      </c>
      <c r="I154">
        <v>1.4</v>
      </c>
      <c r="J154">
        <v>17</v>
      </c>
      <c r="K154">
        <v>16700</v>
      </c>
      <c r="L154">
        <v>5</v>
      </c>
      <c r="M154">
        <v>2</v>
      </c>
      <c r="N154" t="s">
        <v>23</v>
      </c>
      <c r="O154" t="s">
        <v>24</v>
      </c>
      <c r="P154" t="s">
        <v>23</v>
      </c>
    </row>
    <row r="155" spans="1:16" x14ac:dyDescent="0.2">
      <c r="A155" t="s">
        <v>364</v>
      </c>
      <c r="B155">
        <v>49</v>
      </c>
      <c r="C155" t="s">
        <v>43</v>
      </c>
      <c r="D155" t="s">
        <v>32</v>
      </c>
      <c r="E155" t="s">
        <v>149</v>
      </c>
      <c r="F155" t="s">
        <v>34</v>
      </c>
      <c r="G155" t="s">
        <v>28</v>
      </c>
      <c r="H155" t="s">
        <v>365</v>
      </c>
      <c r="I155">
        <v>8.1</v>
      </c>
      <c r="J155">
        <v>22</v>
      </c>
      <c r="K155">
        <v>21100</v>
      </c>
      <c r="L155">
        <v>4</v>
      </c>
      <c r="M155">
        <v>4</v>
      </c>
      <c r="N155" t="s">
        <v>23</v>
      </c>
      <c r="O155" t="s">
        <v>36</v>
      </c>
      <c r="P155" t="s">
        <v>23</v>
      </c>
    </row>
    <row r="156" spans="1:16" x14ac:dyDescent="0.2">
      <c r="A156" t="s">
        <v>366</v>
      </c>
      <c r="B156">
        <v>35</v>
      </c>
      <c r="C156" t="s">
        <v>43</v>
      </c>
      <c r="D156" t="s">
        <v>89</v>
      </c>
      <c r="E156" t="s">
        <v>142</v>
      </c>
      <c r="F156" t="s">
        <v>20</v>
      </c>
      <c r="G156" t="s">
        <v>28</v>
      </c>
      <c r="H156" t="s">
        <v>367</v>
      </c>
      <c r="I156">
        <v>0.1</v>
      </c>
      <c r="J156">
        <v>8</v>
      </c>
      <c r="K156">
        <v>9800</v>
      </c>
      <c r="L156">
        <v>5</v>
      </c>
      <c r="M156">
        <v>3</v>
      </c>
      <c r="N156" t="s">
        <v>23</v>
      </c>
      <c r="O156" t="s">
        <v>24</v>
      </c>
      <c r="P156" t="s">
        <v>23</v>
      </c>
    </row>
    <row r="157" spans="1:16" x14ac:dyDescent="0.2">
      <c r="A157" t="s">
        <v>368</v>
      </c>
      <c r="B157">
        <v>38</v>
      </c>
      <c r="C157" t="s">
        <v>17</v>
      </c>
      <c r="D157" t="s">
        <v>32</v>
      </c>
      <c r="E157" t="s">
        <v>104</v>
      </c>
      <c r="F157" t="s">
        <v>34</v>
      </c>
      <c r="G157" t="s">
        <v>21</v>
      </c>
      <c r="H157" t="s">
        <v>369</v>
      </c>
      <c r="I157">
        <v>2.4</v>
      </c>
      <c r="J157">
        <v>16</v>
      </c>
      <c r="K157">
        <v>16000</v>
      </c>
      <c r="L157">
        <v>3</v>
      </c>
      <c r="M157">
        <v>4</v>
      </c>
      <c r="N157" t="s">
        <v>23</v>
      </c>
      <c r="O157" t="s">
        <v>24</v>
      </c>
      <c r="P157" t="s">
        <v>23</v>
      </c>
    </row>
    <row r="158" spans="1:16" x14ac:dyDescent="0.2">
      <c r="A158" t="s">
        <v>370</v>
      </c>
      <c r="B158">
        <v>36</v>
      </c>
      <c r="C158" t="s">
        <v>48</v>
      </c>
      <c r="D158" t="s">
        <v>38</v>
      </c>
      <c r="E158" t="s">
        <v>39</v>
      </c>
      <c r="F158" t="s">
        <v>20</v>
      </c>
      <c r="G158" t="s">
        <v>56</v>
      </c>
      <c r="H158" t="s">
        <v>323</v>
      </c>
      <c r="I158">
        <v>1</v>
      </c>
      <c r="J158">
        <v>10</v>
      </c>
      <c r="K158">
        <v>12400</v>
      </c>
      <c r="L158">
        <v>3</v>
      </c>
      <c r="M158">
        <v>3</v>
      </c>
      <c r="N158" t="s">
        <v>23</v>
      </c>
      <c r="O158" t="s">
        <v>24</v>
      </c>
      <c r="P158" t="s">
        <v>23</v>
      </c>
    </row>
    <row r="159" spans="1:16" x14ac:dyDescent="0.2">
      <c r="A159" t="s">
        <v>371</v>
      </c>
      <c r="B159">
        <v>36</v>
      </c>
      <c r="C159" t="s">
        <v>43</v>
      </c>
      <c r="D159" t="s">
        <v>32</v>
      </c>
      <c r="E159" t="s">
        <v>33</v>
      </c>
      <c r="F159" t="s">
        <v>34</v>
      </c>
      <c r="G159" t="s">
        <v>28</v>
      </c>
      <c r="H159" t="s">
        <v>372</v>
      </c>
      <c r="I159">
        <v>3.1</v>
      </c>
      <c r="J159">
        <v>13</v>
      </c>
      <c r="K159">
        <v>12900</v>
      </c>
      <c r="L159">
        <v>2</v>
      </c>
      <c r="M159">
        <v>3</v>
      </c>
      <c r="N159" t="s">
        <v>41</v>
      </c>
      <c r="O159" t="s">
        <v>80</v>
      </c>
      <c r="P159" t="s">
        <v>23</v>
      </c>
    </row>
    <row r="160" spans="1:16" x14ac:dyDescent="0.2">
      <c r="A160" t="s">
        <v>373</v>
      </c>
      <c r="B160">
        <v>24</v>
      </c>
      <c r="C160" t="s">
        <v>31</v>
      </c>
      <c r="D160" t="s">
        <v>89</v>
      </c>
      <c r="E160" t="s">
        <v>101</v>
      </c>
      <c r="F160" t="s">
        <v>20</v>
      </c>
      <c r="G160" t="s">
        <v>45</v>
      </c>
      <c r="H160" t="s">
        <v>374</v>
      </c>
      <c r="I160">
        <v>1.8</v>
      </c>
      <c r="J160">
        <v>1</v>
      </c>
      <c r="K160">
        <v>15200</v>
      </c>
      <c r="L160">
        <v>4</v>
      </c>
      <c r="M160">
        <v>3</v>
      </c>
      <c r="N160" t="s">
        <v>23</v>
      </c>
      <c r="O160" t="s">
        <v>24</v>
      </c>
      <c r="P160" t="s">
        <v>23</v>
      </c>
    </row>
    <row r="161" spans="1:16" x14ac:dyDescent="0.2">
      <c r="A161" t="s">
        <v>375</v>
      </c>
      <c r="B161">
        <v>50</v>
      </c>
      <c r="C161" t="s">
        <v>31</v>
      </c>
      <c r="D161" t="s">
        <v>32</v>
      </c>
      <c r="E161" t="s">
        <v>104</v>
      </c>
      <c r="F161" t="s">
        <v>50</v>
      </c>
      <c r="G161" t="s">
        <v>21</v>
      </c>
      <c r="H161" t="s">
        <v>376</v>
      </c>
      <c r="I161">
        <v>12</v>
      </c>
      <c r="J161">
        <v>29</v>
      </c>
      <c r="K161">
        <v>17300</v>
      </c>
      <c r="L161">
        <v>4</v>
      </c>
      <c r="M161">
        <v>2</v>
      </c>
      <c r="N161" t="s">
        <v>41</v>
      </c>
      <c r="O161" t="s">
        <v>24</v>
      </c>
      <c r="P161" t="s">
        <v>23</v>
      </c>
    </row>
    <row r="162" spans="1:16" x14ac:dyDescent="0.2">
      <c r="A162" t="s">
        <v>377</v>
      </c>
      <c r="B162">
        <v>24</v>
      </c>
      <c r="C162" t="s">
        <v>43</v>
      </c>
      <c r="D162" t="s">
        <v>89</v>
      </c>
      <c r="E162" t="s">
        <v>142</v>
      </c>
      <c r="F162" t="s">
        <v>50</v>
      </c>
      <c r="G162" t="s">
        <v>45</v>
      </c>
      <c r="H162" t="s">
        <v>378</v>
      </c>
      <c r="I162">
        <v>1.1000000000000001</v>
      </c>
      <c r="J162">
        <v>1</v>
      </c>
      <c r="K162">
        <v>10900</v>
      </c>
      <c r="L162">
        <v>4</v>
      </c>
      <c r="M162">
        <v>5</v>
      </c>
      <c r="N162" t="s">
        <v>41</v>
      </c>
      <c r="O162" t="s">
        <v>36</v>
      </c>
      <c r="P162" t="s">
        <v>23</v>
      </c>
    </row>
    <row r="163" spans="1:16" x14ac:dyDescent="0.2">
      <c r="A163" t="s">
        <v>379</v>
      </c>
      <c r="B163">
        <v>21</v>
      </c>
      <c r="C163" t="s">
        <v>31</v>
      </c>
      <c r="D163" t="s">
        <v>32</v>
      </c>
      <c r="E163" t="s">
        <v>33</v>
      </c>
      <c r="F163" t="s">
        <v>20</v>
      </c>
      <c r="G163" t="s">
        <v>56</v>
      </c>
      <c r="H163" t="s">
        <v>380</v>
      </c>
      <c r="I163">
        <v>0.3</v>
      </c>
      <c r="J163">
        <v>0</v>
      </c>
      <c r="K163">
        <v>8900</v>
      </c>
      <c r="L163">
        <v>4</v>
      </c>
      <c r="M163">
        <v>4</v>
      </c>
      <c r="N163" t="s">
        <v>23</v>
      </c>
      <c r="O163" t="s">
        <v>36</v>
      </c>
      <c r="P163" t="s">
        <v>23</v>
      </c>
    </row>
    <row r="164" spans="1:16" x14ac:dyDescent="0.2">
      <c r="A164" t="s">
        <v>381</v>
      </c>
      <c r="B164">
        <v>45</v>
      </c>
      <c r="C164" t="s">
        <v>31</v>
      </c>
      <c r="D164" t="s">
        <v>32</v>
      </c>
      <c r="E164" t="s">
        <v>33</v>
      </c>
      <c r="F164" t="s">
        <v>50</v>
      </c>
      <c r="G164" t="s">
        <v>45</v>
      </c>
      <c r="H164" t="s">
        <v>382</v>
      </c>
      <c r="I164">
        <v>11.4</v>
      </c>
      <c r="J164">
        <v>21</v>
      </c>
      <c r="K164">
        <v>13700</v>
      </c>
      <c r="L164">
        <v>3</v>
      </c>
      <c r="M164">
        <v>3</v>
      </c>
      <c r="N164" t="s">
        <v>23</v>
      </c>
      <c r="O164" t="s">
        <v>24</v>
      </c>
      <c r="P164" t="s">
        <v>23</v>
      </c>
    </row>
    <row r="165" spans="1:16" x14ac:dyDescent="0.2">
      <c r="A165" t="s">
        <v>383</v>
      </c>
      <c r="B165">
        <v>47</v>
      </c>
      <c r="C165" t="s">
        <v>48</v>
      </c>
      <c r="D165" t="s">
        <v>32</v>
      </c>
      <c r="E165" t="s">
        <v>33</v>
      </c>
      <c r="F165" t="s">
        <v>20</v>
      </c>
      <c r="G165" t="s">
        <v>45</v>
      </c>
      <c r="H165" t="s">
        <v>384</v>
      </c>
      <c r="I165">
        <v>12.1</v>
      </c>
      <c r="J165">
        <v>26</v>
      </c>
      <c r="K165">
        <v>14000</v>
      </c>
      <c r="L165">
        <v>4</v>
      </c>
      <c r="M165">
        <v>1</v>
      </c>
      <c r="N165" t="s">
        <v>23</v>
      </c>
      <c r="O165" t="s">
        <v>36</v>
      </c>
      <c r="P165" t="s">
        <v>23</v>
      </c>
    </row>
    <row r="166" spans="1:16" x14ac:dyDescent="0.2">
      <c r="A166" t="s">
        <v>385</v>
      </c>
      <c r="B166">
        <v>45</v>
      </c>
      <c r="C166" t="s">
        <v>31</v>
      </c>
      <c r="D166" t="s">
        <v>32</v>
      </c>
      <c r="E166" t="s">
        <v>104</v>
      </c>
      <c r="F166" t="s">
        <v>50</v>
      </c>
      <c r="G166" t="s">
        <v>45</v>
      </c>
      <c r="H166" t="s">
        <v>386</v>
      </c>
      <c r="I166">
        <v>5.2</v>
      </c>
      <c r="J166">
        <v>20</v>
      </c>
      <c r="K166">
        <v>16300</v>
      </c>
      <c r="L166">
        <v>4</v>
      </c>
      <c r="M166">
        <v>4</v>
      </c>
      <c r="N166" t="s">
        <v>41</v>
      </c>
      <c r="O166" t="s">
        <v>36</v>
      </c>
      <c r="P166" t="s">
        <v>23</v>
      </c>
    </row>
    <row r="167" spans="1:16" x14ac:dyDescent="0.2">
      <c r="A167" t="s">
        <v>387</v>
      </c>
      <c r="B167">
        <v>31</v>
      </c>
      <c r="C167" t="s">
        <v>17</v>
      </c>
      <c r="D167" t="s">
        <v>18</v>
      </c>
      <c r="E167" t="s">
        <v>199</v>
      </c>
      <c r="F167" t="s">
        <v>34</v>
      </c>
      <c r="G167" t="s">
        <v>21</v>
      </c>
      <c r="H167" t="s">
        <v>388</v>
      </c>
      <c r="I167">
        <v>7.8</v>
      </c>
      <c r="J167">
        <v>9</v>
      </c>
      <c r="K167">
        <v>12600</v>
      </c>
      <c r="L167">
        <v>2</v>
      </c>
      <c r="M167">
        <v>5</v>
      </c>
      <c r="N167" t="s">
        <v>23</v>
      </c>
      <c r="O167" t="s">
        <v>80</v>
      </c>
      <c r="P167" t="s">
        <v>23</v>
      </c>
    </row>
    <row r="168" spans="1:16" x14ac:dyDescent="0.2">
      <c r="A168" t="s">
        <v>389</v>
      </c>
      <c r="B168">
        <v>29</v>
      </c>
      <c r="C168" t="s">
        <v>31</v>
      </c>
      <c r="D168" t="s">
        <v>54</v>
      </c>
      <c r="E168" t="s">
        <v>134</v>
      </c>
      <c r="F168" t="s">
        <v>34</v>
      </c>
      <c r="G168" t="s">
        <v>28</v>
      </c>
      <c r="H168" t="s">
        <v>390</v>
      </c>
      <c r="I168">
        <v>1.2</v>
      </c>
      <c r="J168">
        <v>2</v>
      </c>
      <c r="K168">
        <v>14400</v>
      </c>
      <c r="L168">
        <v>1</v>
      </c>
      <c r="M168">
        <v>3</v>
      </c>
      <c r="N168" t="s">
        <v>23</v>
      </c>
      <c r="O168" t="s">
        <v>36</v>
      </c>
      <c r="P168" t="s">
        <v>23</v>
      </c>
    </row>
    <row r="169" spans="1:16" x14ac:dyDescent="0.2">
      <c r="A169" t="s">
        <v>391</v>
      </c>
      <c r="B169">
        <v>55</v>
      </c>
      <c r="C169" t="s">
        <v>31</v>
      </c>
      <c r="D169" t="s">
        <v>54</v>
      </c>
      <c r="E169" t="s">
        <v>82</v>
      </c>
      <c r="F169" t="s">
        <v>20</v>
      </c>
      <c r="G169" t="s">
        <v>21</v>
      </c>
      <c r="H169" t="s">
        <v>392</v>
      </c>
      <c r="I169">
        <v>8.8000000000000007</v>
      </c>
      <c r="J169">
        <v>30</v>
      </c>
      <c r="K169">
        <v>10800</v>
      </c>
      <c r="L169">
        <v>3</v>
      </c>
      <c r="M169">
        <v>3</v>
      </c>
      <c r="N169" t="s">
        <v>23</v>
      </c>
      <c r="O169" t="s">
        <v>24</v>
      </c>
      <c r="P169" t="s">
        <v>23</v>
      </c>
    </row>
    <row r="170" spans="1:16" x14ac:dyDescent="0.2">
      <c r="A170" t="s">
        <v>393</v>
      </c>
      <c r="B170">
        <v>36</v>
      </c>
      <c r="C170" t="s">
        <v>43</v>
      </c>
      <c r="D170" t="s">
        <v>54</v>
      </c>
      <c r="E170" t="s">
        <v>55</v>
      </c>
      <c r="F170" t="s">
        <v>34</v>
      </c>
      <c r="G170" t="s">
        <v>45</v>
      </c>
      <c r="H170" t="s">
        <v>394</v>
      </c>
      <c r="I170">
        <v>13.2</v>
      </c>
      <c r="J170">
        <v>14</v>
      </c>
      <c r="K170">
        <v>10200</v>
      </c>
      <c r="L170">
        <v>4</v>
      </c>
      <c r="M170">
        <v>3</v>
      </c>
      <c r="N170" t="s">
        <v>23</v>
      </c>
      <c r="O170" t="s">
        <v>24</v>
      </c>
      <c r="P170" t="s">
        <v>23</v>
      </c>
    </row>
    <row r="171" spans="1:16" x14ac:dyDescent="0.2">
      <c r="A171" t="s">
        <v>395</v>
      </c>
      <c r="B171">
        <v>23</v>
      </c>
      <c r="C171" t="s">
        <v>31</v>
      </c>
      <c r="D171" t="s">
        <v>32</v>
      </c>
      <c r="E171" t="s">
        <v>139</v>
      </c>
      <c r="F171" t="s">
        <v>34</v>
      </c>
      <c r="G171" t="s">
        <v>51</v>
      </c>
      <c r="H171" t="s">
        <v>396</v>
      </c>
      <c r="I171">
        <v>2.2000000000000002</v>
      </c>
      <c r="J171">
        <v>2</v>
      </c>
      <c r="K171">
        <v>8700</v>
      </c>
      <c r="L171">
        <v>4</v>
      </c>
      <c r="M171">
        <v>2</v>
      </c>
      <c r="N171" t="s">
        <v>41</v>
      </c>
      <c r="O171" t="s">
        <v>24</v>
      </c>
      <c r="P171" t="s">
        <v>23</v>
      </c>
    </row>
    <row r="172" spans="1:16" x14ac:dyDescent="0.2">
      <c r="A172" t="s">
        <v>397</v>
      </c>
      <c r="B172">
        <v>54</v>
      </c>
      <c r="C172" t="s">
        <v>17</v>
      </c>
      <c r="D172" t="s">
        <v>89</v>
      </c>
      <c r="E172" t="s">
        <v>93</v>
      </c>
      <c r="F172" t="s">
        <v>20</v>
      </c>
      <c r="G172" t="s">
        <v>51</v>
      </c>
      <c r="H172" t="s">
        <v>398</v>
      </c>
      <c r="I172">
        <v>4.9000000000000004</v>
      </c>
      <c r="J172">
        <v>33</v>
      </c>
      <c r="K172">
        <v>13600</v>
      </c>
      <c r="L172">
        <v>3</v>
      </c>
      <c r="M172">
        <v>2</v>
      </c>
      <c r="N172" t="s">
        <v>41</v>
      </c>
      <c r="O172" t="s">
        <v>80</v>
      </c>
      <c r="P172" t="s">
        <v>23</v>
      </c>
    </row>
    <row r="173" spans="1:16" x14ac:dyDescent="0.2">
      <c r="A173" t="s">
        <v>399</v>
      </c>
      <c r="B173">
        <v>58</v>
      </c>
      <c r="C173" t="s">
        <v>48</v>
      </c>
      <c r="D173" t="s">
        <v>54</v>
      </c>
      <c r="E173" t="s">
        <v>55</v>
      </c>
      <c r="F173" t="s">
        <v>50</v>
      </c>
      <c r="G173" t="s">
        <v>45</v>
      </c>
      <c r="H173" t="s">
        <v>400</v>
      </c>
      <c r="I173">
        <v>8.5</v>
      </c>
      <c r="J173">
        <v>36</v>
      </c>
      <c r="K173">
        <v>13400</v>
      </c>
      <c r="L173">
        <v>3</v>
      </c>
      <c r="M173">
        <v>4</v>
      </c>
      <c r="N173" t="s">
        <v>23</v>
      </c>
      <c r="O173" t="s">
        <v>36</v>
      </c>
      <c r="P173" t="s">
        <v>23</v>
      </c>
    </row>
    <row r="174" spans="1:16" x14ac:dyDescent="0.2">
      <c r="A174" t="s">
        <v>401</v>
      </c>
      <c r="B174">
        <v>53</v>
      </c>
      <c r="C174" t="s">
        <v>31</v>
      </c>
      <c r="D174" t="s">
        <v>18</v>
      </c>
      <c r="E174" t="s">
        <v>19</v>
      </c>
      <c r="F174" t="s">
        <v>50</v>
      </c>
      <c r="G174" t="s">
        <v>21</v>
      </c>
      <c r="H174" t="s">
        <v>402</v>
      </c>
      <c r="I174">
        <v>7.4</v>
      </c>
      <c r="J174">
        <v>27</v>
      </c>
      <c r="K174">
        <v>11100</v>
      </c>
      <c r="L174">
        <v>3</v>
      </c>
      <c r="M174">
        <v>4</v>
      </c>
      <c r="N174" t="s">
        <v>23</v>
      </c>
      <c r="O174" t="s">
        <v>36</v>
      </c>
      <c r="P174" t="s">
        <v>23</v>
      </c>
    </row>
    <row r="175" spans="1:16" x14ac:dyDescent="0.2">
      <c r="A175" t="s">
        <v>403</v>
      </c>
      <c r="B175">
        <v>49</v>
      </c>
      <c r="C175" t="s">
        <v>48</v>
      </c>
      <c r="D175" t="s">
        <v>18</v>
      </c>
      <c r="E175" t="s">
        <v>199</v>
      </c>
      <c r="F175" t="s">
        <v>20</v>
      </c>
      <c r="G175" t="s">
        <v>21</v>
      </c>
      <c r="H175" t="s">
        <v>404</v>
      </c>
      <c r="I175">
        <v>4.9000000000000004</v>
      </c>
      <c r="J175">
        <v>25</v>
      </c>
      <c r="K175">
        <v>15700</v>
      </c>
      <c r="L175">
        <v>5</v>
      </c>
      <c r="M175">
        <v>3</v>
      </c>
      <c r="N175" t="s">
        <v>23</v>
      </c>
      <c r="O175" t="s">
        <v>36</v>
      </c>
      <c r="P175" t="s">
        <v>23</v>
      </c>
    </row>
    <row r="176" spans="1:16" x14ac:dyDescent="0.2">
      <c r="A176" t="s">
        <v>405</v>
      </c>
      <c r="B176">
        <v>30</v>
      </c>
      <c r="C176" t="s">
        <v>48</v>
      </c>
      <c r="D176" t="s">
        <v>54</v>
      </c>
      <c r="E176" t="s">
        <v>64</v>
      </c>
      <c r="F176" t="s">
        <v>20</v>
      </c>
      <c r="G176" t="s">
        <v>45</v>
      </c>
      <c r="H176" t="s">
        <v>406</v>
      </c>
      <c r="I176">
        <v>6.8</v>
      </c>
      <c r="J176">
        <v>6</v>
      </c>
      <c r="K176">
        <v>10900</v>
      </c>
      <c r="L176">
        <v>3</v>
      </c>
      <c r="M176">
        <v>2</v>
      </c>
      <c r="N176" t="s">
        <v>41</v>
      </c>
      <c r="O176" t="s">
        <v>24</v>
      </c>
      <c r="P176" t="s">
        <v>23</v>
      </c>
    </row>
    <row r="177" spans="1:16" x14ac:dyDescent="0.2">
      <c r="A177" t="s">
        <v>407</v>
      </c>
      <c r="B177">
        <v>48</v>
      </c>
      <c r="C177" t="s">
        <v>48</v>
      </c>
      <c r="D177" t="s">
        <v>54</v>
      </c>
      <c r="E177" t="s">
        <v>55</v>
      </c>
      <c r="F177" t="s">
        <v>50</v>
      </c>
      <c r="G177" t="s">
        <v>21</v>
      </c>
      <c r="H177" t="s">
        <v>408</v>
      </c>
      <c r="I177">
        <v>11.9</v>
      </c>
      <c r="J177">
        <v>24</v>
      </c>
      <c r="K177">
        <v>13000</v>
      </c>
      <c r="L177">
        <v>3</v>
      </c>
      <c r="M177">
        <v>1</v>
      </c>
      <c r="N177" t="s">
        <v>23</v>
      </c>
      <c r="O177" t="s">
        <v>24</v>
      </c>
      <c r="P177" t="s">
        <v>23</v>
      </c>
    </row>
    <row r="178" spans="1:16" x14ac:dyDescent="0.2">
      <c r="A178" t="s">
        <v>409</v>
      </c>
      <c r="B178">
        <v>45</v>
      </c>
      <c r="C178" t="s">
        <v>43</v>
      </c>
      <c r="D178" t="s">
        <v>32</v>
      </c>
      <c r="E178" t="s">
        <v>149</v>
      </c>
      <c r="F178" t="s">
        <v>50</v>
      </c>
      <c r="G178" t="s">
        <v>51</v>
      </c>
      <c r="H178" t="s">
        <v>410</v>
      </c>
      <c r="I178">
        <v>1.8</v>
      </c>
      <c r="J178">
        <v>18</v>
      </c>
      <c r="K178">
        <v>22300</v>
      </c>
      <c r="L178">
        <v>5</v>
      </c>
      <c r="M178">
        <v>5</v>
      </c>
      <c r="N178" t="s">
        <v>23</v>
      </c>
      <c r="O178" t="s">
        <v>24</v>
      </c>
      <c r="P178" t="s">
        <v>23</v>
      </c>
    </row>
    <row r="179" spans="1:16" x14ac:dyDescent="0.2">
      <c r="A179" t="s">
        <v>411</v>
      </c>
      <c r="B179">
        <v>30</v>
      </c>
      <c r="C179" t="s">
        <v>31</v>
      </c>
      <c r="D179" t="s">
        <v>32</v>
      </c>
      <c r="E179" t="s">
        <v>149</v>
      </c>
      <c r="F179" t="s">
        <v>34</v>
      </c>
      <c r="G179" t="s">
        <v>56</v>
      </c>
      <c r="H179" t="s">
        <v>412</v>
      </c>
      <c r="I179">
        <v>1.8</v>
      </c>
      <c r="J179">
        <v>9</v>
      </c>
      <c r="K179">
        <v>19600</v>
      </c>
      <c r="L179">
        <v>3</v>
      </c>
      <c r="M179">
        <v>3</v>
      </c>
      <c r="N179" t="s">
        <v>41</v>
      </c>
      <c r="O179" t="s">
        <v>24</v>
      </c>
      <c r="P179" t="s">
        <v>23</v>
      </c>
    </row>
    <row r="180" spans="1:16" x14ac:dyDescent="0.2">
      <c r="A180" t="s">
        <v>413</v>
      </c>
      <c r="B180">
        <v>27</v>
      </c>
      <c r="C180" t="s">
        <v>43</v>
      </c>
      <c r="D180" t="s">
        <v>26</v>
      </c>
      <c r="E180" t="s">
        <v>49</v>
      </c>
      <c r="F180" t="s">
        <v>50</v>
      </c>
      <c r="G180" t="s">
        <v>51</v>
      </c>
      <c r="H180" t="s">
        <v>414</v>
      </c>
      <c r="I180">
        <v>3.2</v>
      </c>
      <c r="J180">
        <v>5</v>
      </c>
      <c r="K180">
        <v>17100</v>
      </c>
      <c r="L180">
        <v>3</v>
      </c>
      <c r="M180">
        <v>4</v>
      </c>
      <c r="N180" t="s">
        <v>23</v>
      </c>
      <c r="O180" t="s">
        <v>24</v>
      </c>
      <c r="P180" t="s">
        <v>23</v>
      </c>
    </row>
    <row r="181" spans="1:16" x14ac:dyDescent="0.2">
      <c r="A181" t="s">
        <v>415</v>
      </c>
      <c r="B181">
        <v>51</v>
      </c>
      <c r="C181" t="s">
        <v>31</v>
      </c>
      <c r="D181" t="s">
        <v>89</v>
      </c>
      <c r="E181" t="s">
        <v>142</v>
      </c>
      <c r="F181" t="s">
        <v>50</v>
      </c>
      <c r="G181" t="s">
        <v>28</v>
      </c>
      <c r="H181" t="s">
        <v>416</v>
      </c>
      <c r="I181">
        <v>3.8</v>
      </c>
      <c r="J181">
        <v>28</v>
      </c>
      <c r="K181">
        <v>14600</v>
      </c>
      <c r="L181">
        <v>3</v>
      </c>
      <c r="M181">
        <v>4</v>
      </c>
      <c r="N181" t="s">
        <v>23</v>
      </c>
      <c r="O181" t="s">
        <v>36</v>
      </c>
      <c r="P181" t="s">
        <v>23</v>
      </c>
    </row>
    <row r="182" spans="1:16" x14ac:dyDescent="0.2">
      <c r="A182" t="s">
        <v>417</v>
      </c>
      <c r="B182">
        <v>57</v>
      </c>
      <c r="C182" t="s">
        <v>31</v>
      </c>
      <c r="D182" t="s">
        <v>32</v>
      </c>
      <c r="E182" t="s">
        <v>139</v>
      </c>
      <c r="F182" t="s">
        <v>50</v>
      </c>
      <c r="G182" t="s">
        <v>21</v>
      </c>
      <c r="H182" t="s">
        <v>418</v>
      </c>
      <c r="I182">
        <v>12.7</v>
      </c>
      <c r="J182">
        <v>35</v>
      </c>
      <c r="K182">
        <v>13800</v>
      </c>
      <c r="L182">
        <v>4</v>
      </c>
      <c r="M182">
        <v>4</v>
      </c>
      <c r="N182" t="s">
        <v>23</v>
      </c>
      <c r="O182" t="s">
        <v>24</v>
      </c>
      <c r="P182" t="s">
        <v>23</v>
      </c>
    </row>
    <row r="183" spans="1:16" x14ac:dyDescent="0.2">
      <c r="A183" t="s">
        <v>419</v>
      </c>
      <c r="B183">
        <v>29</v>
      </c>
      <c r="C183" t="s">
        <v>31</v>
      </c>
      <c r="D183" t="s">
        <v>38</v>
      </c>
      <c r="E183" t="s">
        <v>59</v>
      </c>
      <c r="F183" t="s">
        <v>34</v>
      </c>
      <c r="G183" t="s">
        <v>28</v>
      </c>
      <c r="H183" t="s">
        <v>420</v>
      </c>
      <c r="I183">
        <v>1.7</v>
      </c>
      <c r="J183">
        <v>3</v>
      </c>
      <c r="K183">
        <v>22900</v>
      </c>
      <c r="L183">
        <v>4</v>
      </c>
      <c r="M183">
        <v>4</v>
      </c>
      <c r="N183" t="s">
        <v>23</v>
      </c>
      <c r="O183" t="s">
        <v>24</v>
      </c>
      <c r="P183" t="s">
        <v>23</v>
      </c>
    </row>
    <row r="184" spans="1:16" x14ac:dyDescent="0.2">
      <c r="A184" t="s">
        <v>421</v>
      </c>
      <c r="B184">
        <v>55</v>
      </c>
      <c r="C184" t="s">
        <v>43</v>
      </c>
      <c r="D184" t="s">
        <v>89</v>
      </c>
      <c r="E184" t="s">
        <v>101</v>
      </c>
      <c r="F184" t="s">
        <v>34</v>
      </c>
      <c r="G184" t="s">
        <v>56</v>
      </c>
      <c r="H184" t="s">
        <v>422</v>
      </c>
      <c r="I184">
        <v>7.8</v>
      </c>
      <c r="J184">
        <v>34</v>
      </c>
      <c r="K184">
        <v>21700</v>
      </c>
      <c r="L184">
        <v>4</v>
      </c>
      <c r="M184">
        <v>5</v>
      </c>
      <c r="N184" t="s">
        <v>41</v>
      </c>
      <c r="O184" t="s">
        <v>24</v>
      </c>
      <c r="P184" t="s">
        <v>23</v>
      </c>
    </row>
    <row r="185" spans="1:16" x14ac:dyDescent="0.2">
      <c r="A185" t="s">
        <v>423</v>
      </c>
      <c r="B185">
        <v>42</v>
      </c>
      <c r="C185" t="s">
        <v>43</v>
      </c>
      <c r="D185" t="s">
        <v>54</v>
      </c>
      <c r="E185" t="s">
        <v>134</v>
      </c>
      <c r="F185" t="s">
        <v>50</v>
      </c>
      <c r="G185" t="s">
        <v>51</v>
      </c>
      <c r="H185" t="s">
        <v>424</v>
      </c>
      <c r="I185">
        <v>9.1999999999999993</v>
      </c>
      <c r="J185">
        <v>15</v>
      </c>
      <c r="K185">
        <v>16200</v>
      </c>
      <c r="L185">
        <v>2</v>
      </c>
      <c r="M185">
        <v>3</v>
      </c>
      <c r="N185" t="s">
        <v>23</v>
      </c>
      <c r="O185" t="s">
        <v>36</v>
      </c>
      <c r="P185" t="s">
        <v>23</v>
      </c>
    </row>
    <row r="186" spans="1:16" x14ac:dyDescent="0.2">
      <c r="A186" t="s">
        <v>425</v>
      </c>
      <c r="B186">
        <v>58</v>
      </c>
      <c r="C186" t="s">
        <v>43</v>
      </c>
      <c r="D186" t="s">
        <v>38</v>
      </c>
      <c r="E186" t="s">
        <v>59</v>
      </c>
      <c r="F186" t="s">
        <v>50</v>
      </c>
      <c r="G186" t="s">
        <v>51</v>
      </c>
      <c r="H186" t="s">
        <v>426</v>
      </c>
      <c r="I186">
        <v>10.8</v>
      </c>
      <c r="J186">
        <v>32</v>
      </c>
      <c r="K186">
        <v>28500</v>
      </c>
      <c r="L186">
        <v>5</v>
      </c>
      <c r="M186">
        <v>3</v>
      </c>
      <c r="N186" t="s">
        <v>23</v>
      </c>
      <c r="O186" t="s">
        <v>80</v>
      </c>
      <c r="P186" t="s">
        <v>23</v>
      </c>
    </row>
    <row r="187" spans="1:16" x14ac:dyDescent="0.2">
      <c r="A187" t="s">
        <v>427</v>
      </c>
      <c r="B187">
        <v>34</v>
      </c>
      <c r="C187" t="s">
        <v>17</v>
      </c>
      <c r="D187" t="s">
        <v>32</v>
      </c>
      <c r="E187" t="s">
        <v>149</v>
      </c>
      <c r="F187" t="s">
        <v>20</v>
      </c>
      <c r="G187" t="s">
        <v>51</v>
      </c>
      <c r="H187" t="s">
        <v>428</v>
      </c>
      <c r="I187">
        <v>5.2</v>
      </c>
      <c r="J187">
        <v>9</v>
      </c>
      <c r="K187">
        <v>20400</v>
      </c>
      <c r="L187">
        <v>2</v>
      </c>
      <c r="M187">
        <v>4</v>
      </c>
      <c r="N187" t="s">
        <v>23</v>
      </c>
      <c r="O187" t="s">
        <v>24</v>
      </c>
      <c r="P187" t="s">
        <v>41</v>
      </c>
    </row>
    <row r="188" spans="1:16" x14ac:dyDescent="0.2">
      <c r="A188" t="s">
        <v>429</v>
      </c>
      <c r="B188">
        <v>31</v>
      </c>
      <c r="C188" t="s">
        <v>43</v>
      </c>
      <c r="D188" t="s">
        <v>18</v>
      </c>
      <c r="E188" t="s">
        <v>19</v>
      </c>
      <c r="F188" t="s">
        <v>20</v>
      </c>
      <c r="G188" t="s">
        <v>28</v>
      </c>
      <c r="H188" t="s">
        <v>430</v>
      </c>
      <c r="I188">
        <v>2.7</v>
      </c>
      <c r="J188">
        <v>5</v>
      </c>
      <c r="K188">
        <v>7400</v>
      </c>
      <c r="L188">
        <v>4</v>
      </c>
      <c r="M188">
        <v>3</v>
      </c>
      <c r="N188" t="s">
        <v>23</v>
      </c>
      <c r="O188" t="s">
        <v>24</v>
      </c>
      <c r="P188" t="s">
        <v>23</v>
      </c>
    </row>
    <row r="189" spans="1:16" x14ac:dyDescent="0.2">
      <c r="A189" t="s">
        <v>431</v>
      </c>
      <c r="B189">
        <v>60</v>
      </c>
      <c r="C189" t="s">
        <v>17</v>
      </c>
      <c r="D189" t="s">
        <v>38</v>
      </c>
      <c r="E189" t="s">
        <v>39</v>
      </c>
      <c r="F189" t="s">
        <v>34</v>
      </c>
      <c r="G189" t="s">
        <v>21</v>
      </c>
      <c r="H189" t="s">
        <v>432</v>
      </c>
      <c r="I189">
        <v>9.6999999999999993</v>
      </c>
      <c r="J189">
        <v>38</v>
      </c>
      <c r="K189">
        <v>17400</v>
      </c>
      <c r="L189">
        <v>3</v>
      </c>
      <c r="M189">
        <v>4</v>
      </c>
      <c r="N189" t="s">
        <v>41</v>
      </c>
      <c r="O189" t="s">
        <v>36</v>
      </c>
      <c r="P189" t="s">
        <v>23</v>
      </c>
    </row>
    <row r="190" spans="1:16" x14ac:dyDescent="0.2">
      <c r="A190" t="s">
        <v>433</v>
      </c>
      <c r="B190">
        <v>44</v>
      </c>
      <c r="C190" t="s">
        <v>31</v>
      </c>
      <c r="D190" t="s">
        <v>89</v>
      </c>
      <c r="E190" t="s">
        <v>142</v>
      </c>
      <c r="F190" t="s">
        <v>34</v>
      </c>
      <c r="G190" t="s">
        <v>21</v>
      </c>
      <c r="H190" t="s">
        <v>434</v>
      </c>
      <c r="I190">
        <v>4.2</v>
      </c>
      <c r="J190">
        <v>21</v>
      </c>
      <c r="K190">
        <v>12500</v>
      </c>
      <c r="L190">
        <v>3</v>
      </c>
      <c r="M190">
        <v>5</v>
      </c>
      <c r="N190" t="s">
        <v>23</v>
      </c>
      <c r="O190" t="s">
        <v>36</v>
      </c>
      <c r="P190" t="s">
        <v>23</v>
      </c>
    </row>
    <row r="191" spans="1:16" x14ac:dyDescent="0.2">
      <c r="A191" t="s">
        <v>435</v>
      </c>
      <c r="B191">
        <v>50</v>
      </c>
      <c r="C191" t="s">
        <v>17</v>
      </c>
      <c r="D191" t="s">
        <v>32</v>
      </c>
      <c r="E191" t="s">
        <v>33</v>
      </c>
      <c r="F191" t="s">
        <v>20</v>
      </c>
      <c r="G191" t="s">
        <v>51</v>
      </c>
      <c r="H191" t="s">
        <v>436</v>
      </c>
      <c r="I191">
        <v>3.8</v>
      </c>
      <c r="J191">
        <v>25</v>
      </c>
      <c r="K191">
        <v>15700</v>
      </c>
      <c r="L191">
        <v>4</v>
      </c>
      <c r="M191">
        <v>3</v>
      </c>
      <c r="N191" t="s">
        <v>23</v>
      </c>
      <c r="O191" t="s">
        <v>24</v>
      </c>
      <c r="P191" t="s">
        <v>23</v>
      </c>
    </row>
    <row r="192" spans="1:16" x14ac:dyDescent="0.2">
      <c r="A192" t="s">
        <v>437</v>
      </c>
      <c r="B192">
        <v>44</v>
      </c>
      <c r="C192" t="s">
        <v>43</v>
      </c>
      <c r="D192" t="s">
        <v>54</v>
      </c>
      <c r="E192" t="s">
        <v>55</v>
      </c>
      <c r="F192" t="s">
        <v>34</v>
      </c>
      <c r="G192" t="s">
        <v>45</v>
      </c>
      <c r="H192" t="s">
        <v>438</v>
      </c>
      <c r="I192">
        <v>3.1</v>
      </c>
      <c r="J192">
        <v>18</v>
      </c>
      <c r="K192">
        <v>11400</v>
      </c>
      <c r="L192">
        <v>3</v>
      </c>
      <c r="M192">
        <v>2</v>
      </c>
      <c r="N192" t="s">
        <v>23</v>
      </c>
      <c r="O192" t="s">
        <v>24</v>
      </c>
      <c r="P192" t="s">
        <v>23</v>
      </c>
    </row>
    <row r="193" spans="1:16" x14ac:dyDescent="0.2">
      <c r="A193" t="s">
        <v>439</v>
      </c>
      <c r="B193">
        <v>29</v>
      </c>
      <c r="C193" t="s">
        <v>31</v>
      </c>
      <c r="D193" t="s">
        <v>38</v>
      </c>
      <c r="E193" t="s">
        <v>44</v>
      </c>
      <c r="F193" t="s">
        <v>34</v>
      </c>
      <c r="G193" t="s">
        <v>56</v>
      </c>
      <c r="H193" t="s">
        <v>440</v>
      </c>
      <c r="I193">
        <v>3.4</v>
      </c>
      <c r="J193">
        <v>7</v>
      </c>
      <c r="K193">
        <v>16400</v>
      </c>
      <c r="L193">
        <v>4</v>
      </c>
      <c r="M193">
        <v>5</v>
      </c>
      <c r="N193" t="s">
        <v>23</v>
      </c>
      <c r="O193" t="s">
        <v>24</v>
      </c>
      <c r="P193" t="s">
        <v>23</v>
      </c>
    </row>
    <row r="194" spans="1:16" x14ac:dyDescent="0.2">
      <c r="A194" t="s">
        <v>441</v>
      </c>
      <c r="B194">
        <v>47</v>
      </c>
      <c r="C194" t="s">
        <v>48</v>
      </c>
      <c r="D194" t="s">
        <v>18</v>
      </c>
      <c r="E194" t="s">
        <v>160</v>
      </c>
      <c r="F194" t="s">
        <v>20</v>
      </c>
      <c r="G194" t="s">
        <v>56</v>
      </c>
      <c r="H194" t="s">
        <v>442</v>
      </c>
      <c r="I194">
        <v>10.5</v>
      </c>
      <c r="J194">
        <v>21</v>
      </c>
      <c r="K194">
        <v>20100</v>
      </c>
      <c r="L194">
        <v>3</v>
      </c>
      <c r="M194">
        <v>2</v>
      </c>
      <c r="N194" t="s">
        <v>41</v>
      </c>
      <c r="O194" t="s">
        <v>36</v>
      </c>
      <c r="P194" t="s">
        <v>23</v>
      </c>
    </row>
    <row r="195" spans="1:16" x14ac:dyDescent="0.2">
      <c r="A195" t="s">
        <v>443</v>
      </c>
      <c r="B195">
        <v>50</v>
      </c>
      <c r="C195" t="s">
        <v>17</v>
      </c>
      <c r="D195" t="s">
        <v>32</v>
      </c>
      <c r="E195" t="s">
        <v>104</v>
      </c>
      <c r="F195" t="s">
        <v>34</v>
      </c>
      <c r="G195" t="s">
        <v>28</v>
      </c>
      <c r="H195" t="s">
        <v>444</v>
      </c>
      <c r="I195">
        <v>10.6</v>
      </c>
      <c r="J195">
        <v>25</v>
      </c>
      <c r="K195">
        <v>17000</v>
      </c>
      <c r="L195">
        <v>2</v>
      </c>
      <c r="M195">
        <v>2</v>
      </c>
      <c r="N195" t="s">
        <v>23</v>
      </c>
      <c r="O195" t="s">
        <v>36</v>
      </c>
      <c r="P195" t="s">
        <v>23</v>
      </c>
    </row>
    <row r="196" spans="1:16" x14ac:dyDescent="0.2">
      <c r="A196" t="s">
        <v>445</v>
      </c>
      <c r="B196">
        <v>48</v>
      </c>
      <c r="C196" t="s">
        <v>31</v>
      </c>
      <c r="D196" t="s">
        <v>89</v>
      </c>
      <c r="E196" t="s">
        <v>142</v>
      </c>
      <c r="F196" t="s">
        <v>20</v>
      </c>
      <c r="G196" t="s">
        <v>45</v>
      </c>
      <c r="H196" t="s">
        <v>446</v>
      </c>
      <c r="I196">
        <v>14</v>
      </c>
      <c r="J196">
        <v>27</v>
      </c>
      <c r="K196">
        <v>14100</v>
      </c>
      <c r="L196">
        <v>3</v>
      </c>
      <c r="M196">
        <v>5</v>
      </c>
      <c r="N196" t="s">
        <v>23</v>
      </c>
      <c r="O196" t="s">
        <v>24</v>
      </c>
      <c r="P196" t="s">
        <v>23</v>
      </c>
    </row>
    <row r="197" spans="1:16" x14ac:dyDescent="0.2">
      <c r="A197" t="s">
        <v>447</v>
      </c>
      <c r="B197">
        <v>60</v>
      </c>
      <c r="C197" t="s">
        <v>48</v>
      </c>
      <c r="D197" t="s">
        <v>26</v>
      </c>
      <c r="E197" t="s">
        <v>98</v>
      </c>
      <c r="F197" t="s">
        <v>34</v>
      </c>
      <c r="G197" t="s">
        <v>56</v>
      </c>
      <c r="H197" t="s">
        <v>448</v>
      </c>
      <c r="I197">
        <v>9.1999999999999993</v>
      </c>
      <c r="J197">
        <v>34</v>
      </c>
      <c r="K197">
        <v>17600</v>
      </c>
      <c r="L197">
        <v>2</v>
      </c>
      <c r="M197">
        <v>3</v>
      </c>
      <c r="N197" t="s">
        <v>41</v>
      </c>
      <c r="O197" t="s">
        <v>24</v>
      </c>
      <c r="P197" t="s">
        <v>23</v>
      </c>
    </row>
    <row r="198" spans="1:16" x14ac:dyDescent="0.2">
      <c r="A198" t="s">
        <v>449</v>
      </c>
      <c r="B198">
        <v>39</v>
      </c>
      <c r="C198" t="s">
        <v>17</v>
      </c>
      <c r="D198" t="s">
        <v>26</v>
      </c>
      <c r="E198" t="s">
        <v>98</v>
      </c>
      <c r="F198" t="s">
        <v>50</v>
      </c>
      <c r="G198" t="s">
        <v>45</v>
      </c>
      <c r="H198" t="s">
        <v>450</v>
      </c>
      <c r="I198">
        <v>12.2</v>
      </c>
      <c r="J198">
        <v>16</v>
      </c>
      <c r="K198">
        <v>13900</v>
      </c>
      <c r="L198">
        <v>5</v>
      </c>
      <c r="M198">
        <v>4</v>
      </c>
      <c r="N198" t="s">
        <v>41</v>
      </c>
      <c r="O198" t="s">
        <v>80</v>
      </c>
      <c r="P198" t="s">
        <v>23</v>
      </c>
    </row>
    <row r="199" spans="1:16" x14ac:dyDescent="0.2">
      <c r="A199" t="s">
        <v>451</v>
      </c>
      <c r="B199">
        <v>36</v>
      </c>
      <c r="C199" t="s">
        <v>31</v>
      </c>
      <c r="D199" t="s">
        <v>18</v>
      </c>
      <c r="E199" t="s">
        <v>127</v>
      </c>
      <c r="F199" t="s">
        <v>50</v>
      </c>
      <c r="G199" t="s">
        <v>28</v>
      </c>
      <c r="H199" t="s">
        <v>452</v>
      </c>
      <c r="I199">
        <v>6.9</v>
      </c>
      <c r="J199">
        <v>14</v>
      </c>
      <c r="K199">
        <v>9300</v>
      </c>
      <c r="L199">
        <v>4</v>
      </c>
      <c r="M199">
        <v>4</v>
      </c>
      <c r="N199" t="s">
        <v>23</v>
      </c>
      <c r="O199" t="s">
        <v>36</v>
      </c>
      <c r="P199" t="s">
        <v>23</v>
      </c>
    </row>
    <row r="200" spans="1:16" x14ac:dyDescent="0.2">
      <c r="A200" t="s">
        <v>453</v>
      </c>
      <c r="B200">
        <v>46</v>
      </c>
      <c r="C200" t="s">
        <v>17</v>
      </c>
      <c r="D200" t="s">
        <v>54</v>
      </c>
      <c r="E200" t="s">
        <v>82</v>
      </c>
      <c r="F200" t="s">
        <v>34</v>
      </c>
      <c r="G200" t="s">
        <v>28</v>
      </c>
      <c r="H200" t="s">
        <v>454</v>
      </c>
      <c r="I200">
        <v>6</v>
      </c>
      <c r="J200">
        <v>21</v>
      </c>
      <c r="K200">
        <v>10600</v>
      </c>
      <c r="L200">
        <v>3</v>
      </c>
      <c r="M200">
        <v>3</v>
      </c>
      <c r="N200" t="s">
        <v>23</v>
      </c>
      <c r="O200" t="s">
        <v>36</v>
      </c>
      <c r="P200" t="s">
        <v>23</v>
      </c>
    </row>
    <row r="201" spans="1:16" x14ac:dyDescent="0.2">
      <c r="A201" t="s">
        <v>455</v>
      </c>
      <c r="B201">
        <v>25</v>
      </c>
      <c r="C201" t="s">
        <v>43</v>
      </c>
      <c r="D201" t="s">
        <v>18</v>
      </c>
      <c r="E201" t="s">
        <v>199</v>
      </c>
      <c r="F201" t="s">
        <v>34</v>
      </c>
      <c r="G201" t="s">
        <v>28</v>
      </c>
      <c r="H201" t="s">
        <v>456</v>
      </c>
      <c r="I201">
        <v>0.8</v>
      </c>
      <c r="J201">
        <v>0</v>
      </c>
      <c r="K201">
        <v>9800</v>
      </c>
      <c r="L201">
        <v>5</v>
      </c>
      <c r="M201">
        <v>4</v>
      </c>
      <c r="N201" t="s">
        <v>23</v>
      </c>
      <c r="O201" t="s">
        <v>24</v>
      </c>
      <c r="P201" t="s">
        <v>23</v>
      </c>
    </row>
    <row r="202" spans="1:16" x14ac:dyDescent="0.2">
      <c r="A202" t="s">
        <v>457</v>
      </c>
      <c r="B202">
        <v>23</v>
      </c>
      <c r="C202" t="s">
        <v>43</v>
      </c>
      <c r="D202" t="s">
        <v>32</v>
      </c>
      <c r="E202" t="s">
        <v>139</v>
      </c>
      <c r="F202" t="s">
        <v>34</v>
      </c>
      <c r="G202" t="s">
        <v>51</v>
      </c>
      <c r="H202" t="s">
        <v>458</v>
      </c>
      <c r="I202">
        <v>2.5</v>
      </c>
      <c r="J202">
        <v>2</v>
      </c>
      <c r="K202">
        <v>7700</v>
      </c>
      <c r="L202">
        <v>5</v>
      </c>
      <c r="M202">
        <v>2</v>
      </c>
      <c r="N202" t="s">
        <v>23</v>
      </c>
      <c r="O202" t="s">
        <v>80</v>
      </c>
      <c r="P202" t="s">
        <v>23</v>
      </c>
    </row>
    <row r="203" spans="1:16" x14ac:dyDescent="0.2">
      <c r="A203" t="s">
        <v>459</v>
      </c>
      <c r="B203">
        <v>26</v>
      </c>
      <c r="C203" t="s">
        <v>43</v>
      </c>
      <c r="D203" t="s">
        <v>26</v>
      </c>
      <c r="E203" t="s">
        <v>98</v>
      </c>
      <c r="F203" t="s">
        <v>50</v>
      </c>
      <c r="G203" t="s">
        <v>21</v>
      </c>
      <c r="H203" t="s">
        <v>460</v>
      </c>
      <c r="I203">
        <v>0.5</v>
      </c>
      <c r="J203">
        <v>0</v>
      </c>
      <c r="K203">
        <v>9300</v>
      </c>
      <c r="L203">
        <v>3</v>
      </c>
      <c r="M203">
        <v>5</v>
      </c>
      <c r="N203" t="s">
        <v>41</v>
      </c>
      <c r="O203" t="s">
        <v>24</v>
      </c>
      <c r="P203" t="s">
        <v>23</v>
      </c>
    </row>
    <row r="204" spans="1:16" x14ac:dyDescent="0.2">
      <c r="A204" t="s">
        <v>461</v>
      </c>
      <c r="B204">
        <v>21</v>
      </c>
      <c r="C204" t="s">
        <v>17</v>
      </c>
      <c r="D204" t="s">
        <v>18</v>
      </c>
      <c r="E204" t="s">
        <v>19</v>
      </c>
      <c r="F204" t="s">
        <v>50</v>
      </c>
      <c r="G204" t="s">
        <v>45</v>
      </c>
      <c r="H204" t="s">
        <v>462</v>
      </c>
      <c r="I204">
        <v>0.7</v>
      </c>
      <c r="J204">
        <v>0</v>
      </c>
      <c r="K204">
        <v>6300</v>
      </c>
      <c r="L204">
        <v>4</v>
      </c>
      <c r="M204">
        <v>3</v>
      </c>
      <c r="N204" t="s">
        <v>23</v>
      </c>
      <c r="O204" t="s">
        <v>24</v>
      </c>
      <c r="P204" t="s">
        <v>23</v>
      </c>
    </row>
    <row r="205" spans="1:16" x14ac:dyDescent="0.2">
      <c r="A205" t="s">
        <v>463</v>
      </c>
      <c r="B205">
        <v>35</v>
      </c>
      <c r="C205" t="s">
        <v>43</v>
      </c>
      <c r="D205" t="s">
        <v>38</v>
      </c>
      <c r="E205" t="s">
        <v>39</v>
      </c>
      <c r="F205" t="s">
        <v>34</v>
      </c>
      <c r="G205" t="s">
        <v>45</v>
      </c>
      <c r="H205" t="s">
        <v>150</v>
      </c>
      <c r="I205">
        <v>1.9</v>
      </c>
      <c r="J205">
        <v>11</v>
      </c>
      <c r="K205">
        <v>11200</v>
      </c>
      <c r="L205">
        <v>2</v>
      </c>
      <c r="M205">
        <v>3</v>
      </c>
      <c r="N205" t="s">
        <v>23</v>
      </c>
      <c r="O205" t="s">
        <v>24</v>
      </c>
      <c r="P205" t="s">
        <v>23</v>
      </c>
    </row>
    <row r="206" spans="1:16" x14ac:dyDescent="0.2">
      <c r="A206" t="s">
        <v>464</v>
      </c>
      <c r="B206">
        <v>60</v>
      </c>
      <c r="C206" t="s">
        <v>43</v>
      </c>
      <c r="D206" t="s">
        <v>54</v>
      </c>
      <c r="E206" t="s">
        <v>82</v>
      </c>
      <c r="F206" t="s">
        <v>20</v>
      </c>
      <c r="G206" t="s">
        <v>21</v>
      </c>
      <c r="H206" t="s">
        <v>465</v>
      </c>
      <c r="I206">
        <v>3.6</v>
      </c>
      <c r="J206">
        <v>34</v>
      </c>
      <c r="K206">
        <v>12900</v>
      </c>
      <c r="L206">
        <v>4</v>
      </c>
      <c r="M206">
        <v>4</v>
      </c>
      <c r="N206" t="s">
        <v>41</v>
      </c>
      <c r="O206" t="s">
        <v>24</v>
      </c>
      <c r="P206" t="s">
        <v>23</v>
      </c>
    </row>
    <row r="207" spans="1:16" x14ac:dyDescent="0.2">
      <c r="A207" t="s">
        <v>466</v>
      </c>
      <c r="B207">
        <v>58</v>
      </c>
      <c r="C207" t="s">
        <v>48</v>
      </c>
      <c r="D207" t="s">
        <v>26</v>
      </c>
      <c r="E207" t="s">
        <v>67</v>
      </c>
      <c r="F207" t="s">
        <v>34</v>
      </c>
      <c r="G207" t="s">
        <v>21</v>
      </c>
      <c r="H207" t="s">
        <v>467</v>
      </c>
      <c r="I207">
        <v>8.1999999999999993</v>
      </c>
      <c r="J207">
        <v>32</v>
      </c>
      <c r="K207">
        <v>13300</v>
      </c>
      <c r="L207">
        <v>3</v>
      </c>
      <c r="M207">
        <v>2</v>
      </c>
      <c r="N207" t="s">
        <v>41</v>
      </c>
      <c r="O207" t="s">
        <v>24</v>
      </c>
      <c r="P207" t="s">
        <v>23</v>
      </c>
    </row>
    <row r="208" spans="1:16" x14ac:dyDescent="0.2">
      <c r="A208" t="s">
        <v>468</v>
      </c>
      <c r="B208">
        <v>34</v>
      </c>
      <c r="C208" t="s">
        <v>31</v>
      </c>
      <c r="D208" t="s">
        <v>18</v>
      </c>
      <c r="E208" t="s">
        <v>199</v>
      </c>
      <c r="F208" t="s">
        <v>50</v>
      </c>
      <c r="G208" t="s">
        <v>21</v>
      </c>
      <c r="H208" t="s">
        <v>469</v>
      </c>
      <c r="I208">
        <v>6.5</v>
      </c>
      <c r="J208">
        <v>9</v>
      </c>
      <c r="K208">
        <v>11300</v>
      </c>
      <c r="L208">
        <v>4</v>
      </c>
      <c r="M208">
        <v>3</v>
      </c>
      <c r="N208" t="s">
        <v>41</v>
      </c>
      <c r="O208" t="s">
        <v>36</v>
      </c>
      <c r="P208" t="s">
        <v>23</v>
      </c>
    </row>
    <row r="209" spans="1:16" x14ac:dyDescent="0.2">
      <c r="A209" t="s">
        <v>470</v>
      </c>
      <c r="B209">
        <v>59</v>
      </c>
      <c r="C209" t="s">
        <v>48</v>
      </c>
      <c r="D209" t="s">
        <v>26</v>
      </c>
      <c r="E209" t="s">
        <v>49</v>
      </c>
      <c r="F209" t="s">
        <v>34</v>
      </c>
      <c r="G209" t="s">
        <v>45</v>
      </c>
      <c r="H209" t="s">
        <v>471</v>
      </c>
      <c r="I209">
        <v>11.3</v>
      </c>
      <c r="J209">
        <v>38</v>
      </c>
      <c r="K209">
        <v>21400</v>
      </c>
      <c r="L209">
        <v>5</v>
      </c>
      <c r="M209">
        <v>5</v>
      </c>
      <c r="N209" t="s">
        <v>41</v>
      </c>
      <c r="O209" t="s">
        <v>36</v>
      </c>
      <c r="P209" t="s">
        <v>23</v>
      </c>
    </row>
    <row r="210" spans="1:16" x14ac:dyDescent="0.2">
      <c r="A210" t="s">
        <v>472</v>
      </c>
      <c r="B210">
        <v>22</v>
      </c>
      <c r="C210" t="s">
        <v>31</v>
      </c>
      <c r="D210" t="s">
        <v>38</v>
      </c>
      <c r="E210" t="s">
        <v>39</v>
      </c>
      <c r="F210" t="s">
        <v>50</v>
      </c>
      <c r="G210" t="s">
        <v>28</v>
      </c>
      <c r="H210" t="s">
        <v>473</v>
      </c>
      <c r="I210">
        <v>0.2</v>
      </c>
      <c r="J210">
        <v>0</v>
      </c>
      <c r="K210">
        <v>9900</v>
      </c>
      <c r="L210">
        <v>2</v>
      </c>
      <c r="M210">
        <v>5</v>
      </c>
      <c r="N210" t="s">
        <v>23</v>
      </c>
      <c r="O210" t="s">
        <v>24</v>
      </c>
      <c r="P210" t="s">
        <v>23</v>
      </c>
    </row>
    <row r="211" spans="1:16" x14ac:dyDescent="0.2">
      <c r="A211" t="s">
        <v>474</v>
      </c>
      <c r="B211">
        <v>38</v>
      </c>
      <c r="C211" t="s">
        <v>17</v>
      </c>
      <c r="D211" t="s">
        <v>54</v>
      </c>
      <c r="E211" t="s">
        <v>55</v>
      </c>
      <c r="F211" t="s">
        <v>50</v>
      </c>
      <c r="G211" t="s">
        <v>28</v>
      </c>
      <c r="H211" t="s">
        <v>475</v>
      </c>
      <c r="I211">
        <v>6.7</v>
      </c>
      <c r="J211">
        <v>17</v>
      </c>
      <c r="K211">
        <v>11800</v>
      </c>
      <c r="L211">
        <v>5</v>
      </c>
      <c r="M211">
        <v>5</v>
      </c>
      <c r="N211" t="s">
        <v>41</v>
      </c>
      <c r="O211" t="s">
        <v>24</v>
      </c>
      <c r="P211" t="s">
        <v>23</v>
      </c>
    </row>
    <row r="212" spans="1:16" x14ac:dyDescent="0.2">
      <c r="A212" t="s">
        <v>476</v>
      </c>
      <c r="B212">
        <v>24</v>
      </c>
      <c r="C212" t="s">
        <v>43</v>
      </c>
      <c r="D212" t="s">
        <v>18</v>
      </c>
      <c r="E212" t="s">
        <v>127</v>
      </c>
      <c r="F212" t="s">
        <v>20</v>
      </c>
      <c r="G212" t="s">
        <v>21</v>
      </c>
      <c r="H212" t="s">
        <v>477</v>
      </c>
      <c r="I212">
        <v>0.5</v>
      </c>
      <c r="J212">
        <v>2</v>
      </c>
      <c r="K212">
        <v>7900</v>
      </c>
      <c r="L212">
        <v>2</v>
      </c>
      <c r="M212">
        <v>4</v>
      </c>
      <c r="N212" t="s">
        <v>41</v>
      </c>
      <c r="O212" t="s">
        <v>36</v>
      </c>
      <c r="P212" t="s">
        <v>23</v>
      </c>
    </row>
    <row r="213" spans="1:16" x14ac:dyDescent="0.2">
      <c r="A213" t="s">
        <v>478</v>
      </c>
      <c r="B213">
        <v>21</v>
      </c>
      <c r="C213" t="s">
        <v>48</v>
      </c>
      <c r="D213" t="s">
        <v>18</v>
      </c>
      <c r="E213" t="s">
        <v>127</v>
      </c>
      <c r="F213" t="s">
        <v>34</v>
      </c>
      <c r="G213" t="s">
        <v>21</v>
      </c>
      <c r="H213" t="s">
        <v>479</v>
      </c>
      <c r="I213">
        <v>0.7</v>
      </c>
      <c r="J213">
        <v>0</v>
      </c>
      <c r="K213">
        <v>7900</v>
      </c>
      <c r="L213">
        <v>3</v>
      </c>
      <c r="M213">
        <v>4</v>
      </c>
      <c r="N213" t="s">
        <v>41</v>
      </c>
      <c r="O213" t="s">
        <v>24</v>
      </c>
      <c r="P213" t="s">
        <v>23</v>
      </c>
    </row>
    <row r="214" spans="1:16" x14ac:dyDescent="0.2">
      <c r="A214" t="s">
        <v>480</v>
      </c>
      <c r="B214">
        <v>48</v>
      </c>
      <c r="C214" t="s">
        <v>31</v>
      </c>
      <c r="D214" t="s">
        <v>54</v>
      </c>
      <c r="E214" t="s">
        <v>64</v>
      </c>
      <c r="F214" t="s">
        <v>34</v>
      </c>
      <c r="G214" t="s">
        <v>45</v>
      </c>
      <c r="H214" t="s">
        <v>481</v>
      </c>
      <c r="I214">
        <v>11.2</v>
      </c>
      <c r="J214">
        <v>25</v>
      </c>
      <c r="K214">
        <v>13800</v>
      </c>
      <c r="L214">
        <v>4</v>
      </c>
      <c r="M214">
        <v>4</v>
      </c>
      <c r="N214" t="s">
        <v>41</v>
      </c>
      <c r="O214" t="s">
        <v>24</v>
      </c>
      <c r="P214" t="s">
        <v>23</v>
      </c>
    </row>
    <row r="215" spans="1:16" x14ac:dyDescent="0.2">
      <c r="A215" t="s">
        <v>482</v>
      </c>
      <c r="B215">
        <v>37</v>
      </c>
      <c r="C215" t="s">
        <v>17</v>
      </c>
      <c r="D215" t="s">
        <v>32</v>
      </c>
      <c r="E215" t="s">
        <v>104</v>
      </c>
      <c r="F215" t="s">
        <v>20</v>
      </c>
      <c r="G215" t="s">
        <v>21</v>
      </c>
      <c r="H215" t="s">
        <v>483</v>
      </c>
      <c r="I215">
        <v>2.2000000000000002</v>
      </c>
      <c r="J215">
        <v>10</v>
      </c>
      <c r="K215">
        <v>14600</v>
      </c>
      <c r="L215">
        <v>4</v>
      </c>
      <c r="M215">
        <v>2</v>
      </c>
      <c r="N215" t="s">
        <v>23</v>
      </c>
      <c r="O215" t="s">
        <v>24</v>
      </c>
      <c r="P215" t="s">
        <v>23</v>
      </c>
    </row>
    <row r="216" spans="1:16" x14ac:dyDescent="0.2">
      <c r="A216" t="s">
        <v>484</v>
      </c>
      <c r="B216">
        <v>45</v>
      </c>
      <c r="C216" t="s">
        <v>31</v>
      </c>
      <c r="D216" t="s">
        <v>38</v>
      </c>
      <c r="E216" t="s">
        <v>44</v>
      </c>
      <c r="F216" t="s">
        <v>34</v>
      </c>
      <c r="G216" t="s">
        <v>51</v>
      </c>
      <c r="H216" t="s">
        <v>485</v>
      </c>
      <c r="I216">
        <v>3.8</v>
      </c>
      <c r="J216">
        <v>23</v>
      </c>
      <c r="K216">
        <v>17600</v>
      </c>
      <c r="L216">
        <v>4</v>
      </c>
      <c r="M216">
        <v>5</v>
      </c>
      <c r="N216" t="s">
        <v>23</v>
      </c>
      <c r="O216" t="s">
        <v>24</v>
      </c>
      <c r="P216" t="s">
        <v>23</v>
      </c>
    </row>
    <row r="217" spans="1:16" x14ac:dyDescent="0.2">
      <c r="A217" t="s">
        <v>486</v>
      </c>
      <c r="B217">
        <v>57</v>
      </c>
      <c r="C217" t="s">
        <v>17</v>
      </c>
      <c r="D217" t="s">
        <v>32</v>
      </c>
      <c r="E217" t="s">
        <v>139</v>
      </c>
      <c r="F217" t="s">
        <v>50</v>
      </c>
      <c r="G217" t="s">
        <v>51</v>
      </c>
      <c r="H217" t="s">
        <v>487</v>
      </c>
      <c r="I217">
        <v>2.6</v>
      </c>
      <c r="J217">
        <v>34</v>
      </c>
      <c r="K217">
        <v>15700</v>
      </c>
      <c r="L217">
        <v>5</v>
      </c>
      <c r="M217">
        <v>3</v>
      </c>
      <c r="N217" t="s">
        <v>23</v>
      </c>
      <c r="O217" t="s">
        <v>80</v>
      </c>
      <c r="P217" t="s">
        <v>23</v>
      </c>
    </row>
    <row r="218" spans="1:16" x14ac:dyDescent="0.2">
      <c r="A218" t="s">
        <v>488</v>
      </c>
      <c r="B218">
        <v>26</v>
      </c>
      <c r="C218" t="s">
        <v>31</v>
      </c>
      <c r="D218" t="s">
        <v>32</v>
      </c>
      <c r="E218" t="s">
        <v>33</v>
      </c>
      <c r="F218" t="s">
        <v>20</v>
      </c>
      <c r="G218" t="s">
        <v>56</v>
      </c>
      <c r="H218" t="s">
        <v>246</v>
      </c>
      <c r="I218">
        <v>1.2</v>
      </c>
      <c r="J218">
        <v>1</v>
      </c>
      <c r="K218">
        <v>10100</v>
      </c>
      <c r="L218">
        <v>2</v>
      </c>
      <c r="M218">
        <v>4</v>
      </c>
      <c r="N218" t="s">
        <v>23</v>
      </c>
      <c r="O218" t="s">
        <v>36</v>
      </c>
      <c r="P218" t="s">
        <v>23</v>
      </c>
    </row>
    <row r="219" spans="1:16" x14ac:dyDescent="0.2">
      <c r="A219" t="s">
        <v>489</v>
      </c>
      <c r="B219">
        <v>21</v>
      </c>
      <c r="C219" t="s">
        <v>31</v>
      </c>
      <c r="D219" t="s">
        <v>26</v>
      </c>
      <c r="E219" t="s">
        <v>27</v>
      </c>
      <c r="F219" t="s">
        <v>34</v>
      </c>
      <c r="G219" t="s">
        <v>51</v>
      </c>
      <c r="H219" t="s">
        <v>490</v>
      </c>
      <c r="I219">
        <v>0.1</v>
      </c>
      <c r="J219">
        <v>0</v>
      </c>
      <c r="K219">
        <v>16800</v>
      </c>
      <c r="L219">
        <v>3</v>
      </c>
      <c r="M219">
        <v>4</v>
      </c>
      <c r="N219" t="s">
        <v>23</v>
      </c>
      <c r="O219" t="s">
        <v>80</v>
      </c>
      <c r="P219" t="s">
        <v>41</v>
      </c>
    </row>
    <row r="220" spans="1:16" x14ac:dyDescent="0.2">
      <c r="A220" t="s">
        <v>491</v>
      </c>
      <c r="B220">
        <v>54</v>
      </c>
      <c r="C220" t="s">
        <v>31</v>
      </c>
      <c r="D220" t="s">
        <v>54</v>
      </c>
      <c r="E220" t="s">
        <v>55</v>
      </c>
      <c r="F220" t="s">
        <v>34</v>
      </c>
      <c r="G220" t="s">
        <v>51</v>
      </c>
      <c r="H220" t="s">
        <v>492</v>
      </c>
      <c r="I220">
        <v>9</v>
      </c>
      <c r="J220">
        <v>32</v>
      </c>
      <c r="K220">
        <v>12600</v>
      </c>
      <c r="L220">
        <v>5</v>
      </c>
      <c r="M220">
        <v>2</v>
      </c>
      <c r="N220" t="s">
        <v>41</v>
      </c>
      <c r="O220" t="s">
        <v>24</v>
      </c>
      <c r="P220" t="s">
        <v>23</v>
      </c>
    </row>
    <row r="221" spans="1:16" x14ac:dyDescent="0.2">
      <c r="A221" t="s">
        <v>493</v>
      </c>
      <c r="B221">
        <v>58</v>
      </c>
      <c r="C221" t="s">
        <v>43</v>
      </c>
      <c r="D221" t="s">
        <v>38</v>
      </c>
      <c r="E221" t="s">
        <v>39</v>
      </c>
      <c r="F221" t="s">
        <v>50</v>
      </c>
      <c r="G221" t="s">
        <v>51</v>
      </c>
      <c r="H221" t="s">
        <v>494</v>
      </c>
      <c r="I221">
        <v>10.8</v>
      </c>
      <c r="J221">
        <v>37</v>
      </c>
      <c r="K221">
        <v>18100</v>
      </c>
      <c r="L221">
        <v>4</v>
      </c>
      <c r="M221">
        <v>2</v>
      </c>
      <c r="N221" t="s">
        <v>23</v>
      </c>
      <c r="O221" t="s">
        <v>24</v>
      </c>
      <c r="P221" t="s">
        <v>23</v>
      </c>
    </row>
    <row r="222" spans="1:16" x14ac:dyDescent="0.2">
      <c r="A222" t="s">
        <v>495</v>
      </c>
      <c r="B222">
        <v>41</v>
      </c>
      <c r="C222" t="s">
        <v>43</v>
      </c>
      <c r="D222" t="s">
        <v>32</v>
      </c>
      <c r="E222" t="s">
        <v>149</v>
      </c>
      <c r="F222" t="s">
        <v>50</v>
      </c>
      <c r="G222" t="s">
        <v>28</v>
      </c>
      <c r="H222" t="s">
        <v>496</v>
      </c>
      <c r="I222">
        <v>9.6999999999999993</v>
      </c>
      <c r="J222">
        <v>18</v>
      </c>
      <c r="K222">
        <v>21000</v>
      </c>
      <c r="L222">
        <v>1</v>
      </c>
      <c r="M222">
        <v>3</v>
      </c>
      <c r="N222" t="s">
        <v>23</v>
      </c>
      <c r="O222" t="s">
        <v>36</v>
      </c>
      <c r="P222" t="s">
        <v>23</v>
      </c>
    </row>
    <row r="223" spans="1:16" x14ac:dyDescent="0.2">
      <c r="A223" t="s">
        <v>497</v>
      </c>
      <c r="B223">
        <v>28</v>
      </c>
      <c r="C223" t="s">
        <v>48</v>
      </c>
      <c r="D223" t="s">
        <v>32</v>
      </c>
      <c r="E223" t="s">
        <v>149</v>
      </c>
      <c r="F223" t="s">
        <v>34</v>
      </c>
      <c r="G223" t="s">
        <v>56</v>
      </c>
      <c r="H223" t="s">
        <v>498</v>
      </c>
      <c r="I223">
        <v>1.9</v>
      </c>
      <c r="J223">
        <v>3</v>
      </c>
      <c r="K223">
        <v>18200</v>
      </c>
      <c r="L223">
        <v>3</v>
      </c>
      <c r="M223">
        <v>3</v>
      </c>
      <c r="N223" t="s">
        <v>23</v>
      </c>
      <c r="O223" t="s">
        <v>24</v>
      </c>
      <c r="P223" t="s">
        <v>23</v>
      </c>
    </row>
    <row r="224" spans="1:16" x14ac:dyDescent="0.2">
      <c r="A224" t="s">
        <v>499</v>
      </c>
      <c r="B224">
        <v>41</v>
      </c>
      <c r="C224" t="s">
        <v>43</v>
      </c>
      <c r="D224" t="s">
        <v>54</v>
      </c>
      <c r="E224" t="s">
        <v>55</v>
      </c>
      <c r="F224" t="s">
        <v>20</v>
      </c>
      <c r="G224" t="s">
        <v>28</v>
      </c>
      <c r="H224" t="s">
        <v>500</v>
      </c>
      <c r="I224">
        <v>2</v>
      </c>
      <c r="J224">
        <v>19</v>
      </c>
      <c r="K224">
        <v>11000</v>
      </c>
      <c r="L224">
        <v>5</v>
      </c>
      <c r="M224">
        <v>3</v>
      </c>
      <c r="N224" t="s">
        <v>41</v>
      </c>
      <c r="O224" t="s">
        <v>24</v>
      </c>
      <c r="P224" t="s">
        <v>23</v>
      </c>
    </row>
    <row r="225" spans="1:16" x14ac:dyDescent="0.2">
      <c r="A225" t="s">
        <v>501</v>
      </c>
      <c r="B225">
        <v>27</v>
      </c>
      <c r="C225" t="s">
        <v>31</v>
      </c>
      <c r="D225" t="s">
        <v>38</v>
      </c>
      <c r="E225" t="s">
        <v>76</v>
      </c>
      <c r="F225" t="s">
        <v>50</v>
      </c>
      <c r="G225" t="s">
        <v>21</v>
      </c>
      <c r="H225" t="s">
        <v>502</v>
      </c>
      <c r="I225">
        <v>0.6</v>
      </c>
      <c r="J225">
        <v>3</v>
      </c>
      <c r="K225">
        <v>14400</v>
      </c>
      <c r="L225">
        <v>2</v>
      </c>
      <c r="M225">
        <v>2</v>
      </c>
      <c r="N225" t="s">
        <v>23</v>
      </c>
      <c r="O225" t="s">
        <v>24</v>
      </c>
      <c r="P225" t="s">
        <v>23</v>
      </c>
    </row>
    <row r="226" spans="1:16" x14ac:dyDescent="0.2">
      <c r="A226" t="s">
        <v>503</v>
      </c>
      <c r="B226">
        <v>25</v>
      </c>
      <c r="C226" t="s">
        <v>17</v>
      </c>
      <c r="D226" t="s">
        <v>89</v>
      </c>
      <c r="E226" t="s">
        <v>90</v>
      </c>
      <c r="F226" t="s">
        <v>50</v>
      </c>
      <c r="G226" t="s">
        <v>21</v>
      </c>
      <c r="H226" t="s">
        <v>504</v>
      </c>
      <c r="I226">
        <v>0.4</v>
      </c>
      <c r="J226">
        <v>4</v>
      </c>
      <c r="K226">
        <v>11600</v>
      </c>
      <c r="L226">
        <v>3</v>
      </c>
      <c r="M226">
        <v>2</v>
      </c>
      <c r="N226" t="s">
        <v>23</v>
      </c>
      <c r="O226" t="s">
        <v>36</v>
      </c>
      <c r="P226" t="s">
        <v>23</v>
      </c>
    </row>
    <row r="227" spans="1:16" x14ac:dyDescent="0.2">
      <c r="A227" t="s">
        <v>505</v>
      </c>
      <c r="B227">
        <v>46</v>
      </c>
      <c r="C227" t="s">
        <v>43</v>
      </c>
      <c r="D227" t="s">
        <v>26</v>
      </c>
      <c r="E227" t="s">
        <v>49</v>
      </c>
      <c r="F227" t="s">
        <v>20</v>
      </c>
      <c r="G227" t="s">
        <v>56</v>
      </c>
      <c r="H227" t="s">
        <v>506</v>
      </c>
      <c r="I227">
        <v>0.7</v>
      </c>
      <c r="J227">
        <v>22</v>
      </c>
      <c r="K227">
        <v>21300</v>
      </c>
      <c r="L227">
        <v>3</v>
      </c>
      <c r="M227">
        <v>3</v>
      </c>
      <c r="N227" t="s">
        <v>23</v>
      </c>
      <c r="O227" t="s">
        <v>24</v>
      </c>
      <c r="P227" t="s">
        <v>23</v>
      </c>
    </row>
    <row r="228" spans="1:16" x14ac:dyDescent="0.2">
      <c r="A228" t="s">
        <v>507</v>
      </c>
      <c r="B228">
        <v>39</v>
      </c>
      <c r="C228" t="s">
        <v>43</v>
      </c>
      <c r="D228" t="s">
        <v>89</v>
      </c>
      <c r="E228" t="s">
        <v>142</v>
      </c>
      <c r="F228" t="s">
        <v>34</v>
      </c>
      <c r="G228" t="s">
        <v>56</v>
      </c>
      <c r="H228" t="s">
        <v>508</v>
      </c>
      <c r="I228">
        <v>8.8000000000000007</v>
      </c>
      <c r="J228">
        <v>15</v>
      </c>
      <c r="K228">
        <v>13200</v>
      </c>
      <c r="L228">
        <v>3</v>
      </c>
      <c r="M228">
        <v>2</v>
      </c>
      <c r="N228" t="s">
        <v>23</v>
      </c>
      <c r="O228" t="s">
        <v>24</v>
      </c>
      <c r="P228" t="s">
        <v>23</v>
      </c>
    </row>
    <row r="229" spans="1:16" x14ac:dyDescent="0.2">
      <c r="A229" t="s">
        <v>509</v>
      </c>
      <c r="B229">
        <v>43</v>
      </c>
      <c r="C229" t="s">
        <v>43</v>
      </c>
      <c r="D229" t="s">
        <v>54</v>
      </c>
      <c r="E229" t="s">
        <v>134</v>
      </c>
      <c r="F229" t="s">
        <v>20</v>
      </c>
      <c r="G229" t="s">
        <v>51</v>
      </c>
      <c r="H229" t="s">
        <v>510</v>
      </c>
      <c r="I229">
        <v>11.7</v>
      </c>
      <c r="J229">
        <v>19</v>
      </c>
      <c r="K229">
        <v>18800</v>
      </c>
      <c r="L229">
        <v>3</v>
      </c>
      <c r="M229">
        <v>4</v>
      </c>
      <c r="N229" t="s">
        <v>23</v>
      </c>
      <c r="O229" t="s">
        <v>24</v>
      </c>
      <c r="P229" t="s">
        <v>41</v>
      </c>
    </row>
    <row r="230" spans="1:16" x14ac:dyDescent="0.2">
      <c r="A230" t="s">
        <v>511</v>
      </c>
      <c r="B230">
        <v>54</v>
      </c>
      <c r="C230" t="s">
        <v>17</v>
      </c>
      <c r="D230" t="s">
        <v>54</v>
      </c>
      <c r="E230" t="s">
        <v>134</v>
      </c>
      <c r="F230" t="s">
        <v>20</v>
      </c>
      <c r="G230" t="s">
        <v>56</v>
      </c>
      <c r="H230" t="s">
        <v>512</v>
      </c>
      <c r="I230">
        <v>12.5</v>
      </c>
      <c r="J230">
        <v>31</v>
      </c>
      <c r="K230">
        <v>19700</v>
      </c>
      <c r="L230">
        <v>2</v>
      </c>
      <c r="M230">
        <v>4</v>
      </c>
      <c r="N230" t="s">
        <v>41</v>
      </c>
      <c r="O230" t="s">
        <v>36</v>
      </c>
      <c r="P230" t="s">
        <v>23</v>
      </c>
    </row>
    <row r="231" spans="1:16" x14ac:dyDescent="0.2">
      <c r="A231" t="s">
        <v>513</v>
      </c>
      <c r="B231">
        <v>32</v>
      </c>
      <c r="C231" t="s">
        <v>43</v>
      </c>
      <c r="D231" t="s">
        <v>38</v>
      </c>
      <c r="E231" t="s">
        <v>44</v>
      </c>
      <c r="F231" t="s">
        <v>34</v>
      </c>
      <c r="G231" t="s">
        <v>45</v>
      </c>
      <c r="H231" t="s">
        <v>514</v>
      </c>
      <c r="I231">
        <v>5.0999999999999996</v>
      </c>
      <c r="J231">
        <v>10</v>
      </c>
      <c r="K231">
        <v>16400</v>
      </c>
      <c r="L231">
        <v>4</v>
      </c>
      <c r="M231">
        <v>4</v>
      </c>
      <c r="N231" t="s">
        <v>23</v>
      </c>
      <c r="O231" t="s">
        <v>24</v>
      </c>
      <c r="P231" t="s">
        <v>23</v>
      </c>
    </row>
    <row r="232" spans="1:16" x14ac:dyDescent="0.2">
      <c r="A232" t="s">
        <v>515</v>
      </c>
      <c r="B232">
        <v>32</v>
      </c>
      <c r="C232" t="s">
        <v>43</v>
      </c>
      <c r="D232" t="s">
        <v>38</v>
      </c>
      <c r="E232" t="s">
        <v>44</v>
      </c>
      <c r="F232" t="s">
        <v>20</v>
      </c>
      <c r="G232" t="s">
        <v>51</v>
      </c>
      <c r="H232" t="s">
        <v>516</v>
      </c>
      <c r="I232">
        <v>0.4</v>
      </c>
      <c r="J232">
        <v>8</v>
      </c>
      <c r="K232">
        <v>15000</v>
      </c>
      <c r="L232">
        <v>3</v>
      </c>
      <c r="M232">
        <v>3</v>
      </c>
      <c r="N232" t="s">
        <v>23</v>
      </c>
      <c r="O232" t="s">
        <v>24</v>
      </c>
      <c r="P232" t="s">
        <v>23</v>
      </c>
    </row>
    <row r="233" spans="1:16" x14ac:dyDescent="0.2">
      <c r="A233" t="s">
        <v>517</v>
      </c>
      <c r="B233">
        <v>41</v>
      </c>
      <c r="C233" t="s">
        <v>17</v>
      </c>
      <c r="D233" t="s">
        <v>18</v>
      </c>
      <c r="E233" t="s">
        <v>127</v>
      </c>
      <c r="F233" t="s">
        <v>50</v>
      </c>
      <c r="G233" t="s">
        <v>28</v>
      </c>
      <c r="H233" t="s">
        <v>518</v>
      </c>
      <c r="I233">
        <v>0.5</v>
      </c>
      <c r="J233">
        <v>20</v>
      </c>
      <c r="K233">
        <v>11800</v>
      </c>
      <c r="L233">
        <v>4</v>
      </c>
      <c r="M233">
        <v>2</v>
      </c>
      <c r="N233" t="s">
        <v>41</v>
      </c>
      <c r="O233" t="s">
        <v>24</v>
      </c>
      <c r="P233" t="s">
        <v>23</v>
      </c>
    </row>
    <row r="234" spans="1:16" x14ac:dyDescent="0.2">
      <c r="A234" t="s">
        <v>519</v>
      </c>
      <c r="B234">
        <v>42</v>
      </c>
      <c r="C234" t="s">
        <v>48</v>
      </c>
      <c r="D234" t="s">
        <v>89</v>
      </c>
      <c r="E234" t="s">
        <v>93</v>
      </c>
      <c r="F234" t="s">
        <v>20</v>
      </c>
      <c r="G234" t="s">
        <v>56</v>
      </c>
      <c r="H234" t="s">
        <v>520</v>
      </c>
      <c r="I234">
        <v>6.9</v>
      </c>
      <c r="J234">
        <v>19</v>
      </c>
      <c r="K234">
        <v>9400</v>
      </c>
      <c r="L234">
        <v>4</v>
      </c>
      <c r="M234">
        <v>3</v>
      </c>
      <c r="N234" t="s">
        <v>23</v>
      </c>
      <c r="O234" t="s">
        <v>24</v>
      </c>
      <c r="P234" t="s">
        <v>23</v>
      </c>
    </row>
    <row r="235" spans="1:16" x14ac:dyDescent="0.2">
      <c r="A235" t="s">
        <v>521</v>
      </c>
      <c r="B235">
        <v>40</v>
      </c>
      <c r="C235" t="s">
        <v>17</v>
      </c>
      <c r="D235" t="s">
        <v>26</v>
      </c>
      <c r="E235" t="s">
        <v>49</v>
      </c>
      <c r="F235" t="s">
        <v>20</v>
      </c>
      <c r="G235" t="s">
        <v>56</v>
      </c>
      <c r="H235" t="s">
        <v>522</v>
      </c>
      <c r="I235">
        <v>14.8</v>
      </c>
      <c r="J235">
        <v>14</v>
      </c>
      <c r="K235">
        <v>17600</v>
      </c>
      <c r="L235">
        <v>2</v>
      </c>
      <c r="M235">
        <v>1</v>
      </c>
      <c r="N235" t="s">
        <v>23</v>
      </c>
      <c r="O235" t="s">
        <v>36</v>
      </c>
      <c r="P235" t="s">
        <v>23</v>
      </c>
    </row>
    <row r="236" spans="1:16" x14ac:dyDescent="0.2">
      <c r="A236" t="s">
        <v>523</v>
      </c>
      <c r="B236">
        <v>57</v>
      </c>
      <c r="C236" t="s">
        <v>17</v>
      </c>
      <c r="D236" t="s">
        <v>32</v>
      </c>
      <c r="E236" t="s">
        <v>104</v>
      </c>
      <c r="F236" t="s">
        <v>34</v>
      </c>
      <c r="G236" t="s">
        <v>51</v>
      </c>
      <c r="H236" t="s">
        <v>524</v>
      </c>
      <c r="I236">
        <v>10.7</v>
      </c>
      <c r="J236">
        <v>36</v>
      </c>
      <c r="K236">
        <v>18200</v>
      </c>
      <c r="L236">
        <v>4</v>
      </c>
      <c r="M236">
        <v>3</v>
      </c>
      <c r="N236" t="s">
        <v>23</v>
      </c>
      <c r="O236" t="s">
        <v>24</v>
      </c>
      <c r="P236" t="s">
        <v>23</v>
      </c>
    </row>
    <row r="237" spans="1:16" x14ac:dyDescent="0.2">
      <c r="A237" t="s">
        <v>525</v>
      </c>
      <c r="B237">
        <v>37</v>
      </c>
      <c r="C237" t="s">
        <v>31</v>
      </c>
      <c r="D237" t="s">
        <v>38</v>
      </c>
      <c r="E237" t="s">
        <v>39</v>
      </c>
      <c r="F237" t="s">
        <v>20</v>
      </c>
      <c r="G237" t="s">
        <v>28</v>
      </c>
      <c r="H237" t="s">
        <v>526</v>
      </c>
      <c r="I237">
        <v>5.3</v>
      </c>
      <c r="J237">
        <v>15</v>
      </c>
      <c r="K237">
        <v>11800</v>
      </c>
      <c r="L237">
        <v>3</v>
      </c>
      <c r="M237">
        <v>4</v>
      </c>
      <c r="N237" t="s">
        <v>23</v>
      </c>
      <c r="O237" t="s">
        <v>24</v>
      </c>
      <c r="P237" t="s">
        <v>23</v>
      </c>
    </row>
    <row r="238" spans="1:16" x14ac:dyDescent="0.2">
      <c r="A238" t="s">
        <v>527</v>
      </c>
      <c r="B238">
        <v>43</v>
      </c>
      <c r="C238" t="s">
        <v>17</v>
      </c>
      <c r="D238" t="s">
        <v>38</v>
      </c>
      <c r="E238" t="s">
        <v>59</v>
      </c>
      <c r="F238" t="s">
        <v>50</v>
      </c>
      <c r="G238" t="s">
        <v>21</v>
      </c>
      <c r="H238" t="s">
        <v>528</v>
      </c>
      <c r="I238">
        <v>8.1</v>
      </c>
      <c r="J238">
        <v>18</v>
      </c>
      <c r="K238">
        <v>26500</v>
      </c>
      <c r="L238">
        <v>4</v>
      </c>
      <c r="M238">
        <v>4</v>
      </c>
      <c r="N238" t="s">
        <v>23</v>
      </c>
      <c r="O238" t="s">
        <v>24</v>
      </c>
      <c r="P238" t="s">
        <v>23</v>
      </c>
    </row>
    <row r="239" spans="1:16" x14ac:dyDescent="0.2">
      <c r="A239" t="s">
        <v>529</v>
      </c>
      <c r="B239">
        <v>27</v>
      </c>
      <c r="C239" t="s">
        <v>31</v>
      </c>
      <c r="D239" t="s">
        <v>32</v>
      </c>
      <c r="E239" t="s">
        <v>33</v>
      </c>
      <c r="F239" t="s">
        <v>34</v>
      </c>
      <c r="G239" t="s">
        <v>21</v>
      </c>
      <c r="H239" t="s">
        <v>530</v>
      </c>
      <c r="I239">
        <v>3.7</v>
      </c>
      <c r="J239">
        <v>6</v>
      </c>
      <c r="K239">
        <v>11000</v>
      </c>
      <c r="L239">
        <v>2</v>
      </c>
      <c r="M239">
        <v>2</v>
      </c>
      <c r="N239" t="s">
        <v>23</v>
      </c>
      <c r="O239" t="s">
        <v>80</v>
      </c>
      <c r="P239" t="s">
        <v>23</v>
      </c>
    </row>
    <row r="240" spans="1:16" x14ac:dyDescent="0.2">
      <c r="A240" t="s">
        <v>531</v>
      </c>
      <c r="B240">
        <v>59</v>
      </c>
      <c r="C240" t="s">
        <v>48</v>
      </c>
      <c r="D240" t="s">
        <v>38</v>
      </c>
      <c r="E240" t="s">
        <v>76</v>
      </c>
      <c r="F240" t="s">
        <v>34</v>
      </c>
      <c r="G240" t="s">
        <v>51</v>
      </c>
      <c r="H240" t="s">
        <v>532</v>
      </c>
      <c r="I240">
        <v>3.4</v>
      </c>
      <c r="J240">
        <v>35</v>
      </c>
      <c r="K240">
        <v>20000</v>
      </c>
      <c r="L240">
        <v>3</v>
      </c>
      <c r="M240">
        <v>5</v>
      </c>
      <c r="N240" t="s">
        <v>23</v>
      </c>
      <c r="O240" t="s">
        <v>36</v>
      </c>
      <c r="P240" t="s">
        <v>23</v>
      </c>
    </row>
    <row r="241" spans="1:16" x14ac:dyDescent="0.2">
      <c r="A241" t="s">
        <v>533</v>
      </c>
      <c r="B241">
        <v>27</v>
      </c>
      <c r="C241" t="s">
        <v>31</v>
      </c>
      <c r="D241" t="s">
        <v>32</v>
      </c>
      <c r="E241" t="s">
        <v>104</v>
      </c>
      <c r="F241" t="s">
        <v>20</v>
      </c>
      <c r="G241" t="s">
        <v>21</v>
      </c>
      <c r="H241" t="s">
        <v>534</v>
      </c>
      <c r="I241">
        <v>4.2</v>
      </c>
      <c r="J241">
        <v>6</v>
      </c>
      <c r="K241">
        <v>13700</v>
      </c>
      <c r="L241">
        <v>4</v>
      </c>
      <c r="M241">
        <v>2</v>
      </c>
      <c r="N241" t="s">
        <v>23</v>
      </c>
      <c r="O241" t="s">
        <v>24</v>
      </c>
      <c r="P241" t="s">
        <v>23</v>
      </c>
    </row>
    <row r="242" spans="1:16" x14ac:dyDescent="0.2">
      <c r="A242" t="s">
        <v>535</v>
      </c>
      <c r="B242">
        <v>31</v>
      </c>
      <c r="C242" t="s">
        <v>17</v>
      </c>
      <c r="D242" t="s">
        <v>54</v>
      </c>
      <c r="E242" t="s">
        <v>55</v>
      </c>
      <c r="F242" t="s">
        <v>34</v>
      </c>
      <c r="G242" t="s">
        <v>56</v>
      </c>
      <c r="H242" t="s">
        <v>536</v>
      </c>
      <c r="I242">
        <v>3.2</v>
      </c>
      <c r="J242">
        <v>5</v>
      </c>
      <c r="K242">
        <v>9400</v>
      </c>
      <c r="L242">
        <v>4</v>
      </c>
      <c r="M242">
        <v>3</v>
      </c>
      <c r="N242" t="s">
        <v>23</v>
      </c>
      <c r="O242" t="s">
        <v>24</v>
      </c>
      <c r="P242" t="s">
        <v>23</v>
      </c>
    </row>
    <row r="243" spans="1:16" x14ac:dyDescent="0.2">
      <c r="A243" t="s">
        <v>537</v>
      </c>
      <c r="B243">
        <v>44</v>
      </c>
      <c r="C243" t="s">
        <v>43</v>
      </c>
      <c r="D243" t="s">
        <v>38</v>
      </c>
      <c r="E243" t="s">
        <v>76</v>
      </c>
      <c r="F243" t="s">
        <v>34</v>
      </c>
      <c r="G243" t="s">
        <v>21</v>
      </c>
      <c r="H243" t="s">
        <v>538</v>
      </c>
      <c r="I243">
        <v>7.9</v>
      </c>
      <c r="J243">
        <v>20</v>
      </c>
      <c r="K243">
        <v>18700</v>
      </c>
      <c r="L243">
        <v>1</v>
      </c>
      <c r="M243">
        <v>3</v>
      </c>
      <c r="N243" t="s">
        <v>41</v>
      </c>
      <c r="O243" t="s">
        <v>36</v>
      </c>
      <c r="P243" t="s">
        <v>23</v>
      </c>
    </row>
    <row r="244" spans="1:16" x14ac:dyDescent="0.2">
      <c r="A244" t="s">
        <v>539</v>
      </c>
      <c r="B244">
        <v>55</v>
      </c>
      <c r="C244" t="s">
        <v>31</v>
      </c>
      <c r="D244" t="s">
        <v>54</v>
      </c>
      <c r="E244" t="s">
        <v>64</v>
      </c>
      <c r="F244" t="s">
        <v>34</v>
      </c>
      <c r="G244" t="s">
        <v>45</v>
      </c>
      <c r="H244" t="s">
        <v>540</v>
      </c>
      <c r="I244">
        <v>12.6</v>
      </c>
      <c r="J244">
        <v>31</v>
      </c>
      <c r="K244">
        <v>16100</v>
      </c>
      <c r="L244">
        <v>1</v>
      </c>
      <c r="M244">
        <v>3</v>
      </c>
      <c r="N244" t="s">
        <v>23</v>
      </c>
      <c r="O244" t="s">
        <v>80</v>
      </c>
      <c r="P244" t="s">
        <v>23</v>
      </c>
    </row>
    <row r="245" spans="1:16" x14ac:dyDescent="0.2">
      <c r="A245" t="s">
        <v>541</v>
      </c>
      <c r="B245">
        <v>26</v>
      </c>
      <c r="C245" t="s">
        <v>31</v>
      </c>
      <c r="D245" t="s">
        <v>38</v>
      </c>
      <c r="E245" t="s">
        <v>44</v>
      </c>
      <c r="F245" t="s">
        <v>20</v>
      </c>
      <c r="G245" t="s">
        <v>45</v>
      </c>
      <c r="H245" t="s">
        <v>542</v>
      </c>
      <c r="I245">
        <v>0.2</v>
      </c>
      <c r="J245">
        <v>2</v>
      </c>
      <c r="K245">
        <v>16000</v>
      </c>
      <c r="L245">
        <v>5</v>
      </c>
      <c r="M245">
        <v>4</v>
      </c>
      <c r="N245" t="s">
        <v>23</v>
      </c>
      <c r="O245" t="s">
        <v>36</v>
      </c>
      <c r="P245" t="s">
        <v>23</v>
      </c>
    </row>
    <row r="246" spans="1:16" x14ac:dyDescent="0.2">
      <c r="A246" t="s">
        <v>543</v>
      </c>
      <c r="B246">
        <v>29</v>
      </c>
      <c r="C246" t="s">
        <v>17</v>
      </c>
      <c r="D246" t="s">
        <v>26</v>
      </c>
      <c r="E246" t="s">
        <v>27</v>
      </c>
      <c r="F246" t="s">
        <v>20</v>
      </c>
      <c r="G246" t="s">
        <v>28</v>
      </c>
      <c r="H246" t="s">
        <v>544</v>
      </c>
      <c r="I246">
        <v>4.5999999999999996</v>
      </c>
      <c r="J246">
        <v>8</v>
      </c>
      <c r="K246">
        <v>18800</v>
      </c>
      <c r="L246">
        <v>3</v>
      </c>
      <c r="M246">
        <v>5</v>
      </c>
      <c r="N246" t="s">
        <v>23</v>
      </c>
      <c r="O246" t="s">
        <v>36</v>
      </c>
      <c r="P246" t="s">
        <v>23</v>
      </c>
    </row>
    <row r="247" spans="1:16" x14ac:dyDescent="0.2">
      <c r="A247" t="s">
        <v>545</v>
      </c>
      <c r="B247">
        <v>56</v>
      </c>
      <c r="C247" t="s">
        <v>17</v>
      </c>
      <c r="D247" t="s">
        <v>89</v>
      </c>
      <c r="E247" t="s">
        <v>101</v>
      </c>
      <c r="F247" t="s">
        <v>50</v>
      </c>
      <c r="G247" t="s">
        <v>45</v>
      </c>
      <c r="H247" t="s">
        <v>546</v>
      </c>
      <c r="I247">
        <v>5.9</v>
      </c>
      <c r="J247">
        <v>33</v>
      </c>
      <c r="K247">
        <v>21200</v>
      </c>
      <c r="L247">
        <v>5</v>
      </c>
      <c r="M247">
        <v>1</v>
      </c>
      <c r="N247" t="s">
        <v>23</v>
      </c>
      <c r="O247" t="s">
        <v>36</v>
      </c>
      <c r="P247" t="s">
        <v>23</v>
      </c>
    </row>
    <row r="248" spans="1:16" x14ac:dyDescent="0.2">
      <c r="A248" t="s">
        <v>547</v>
      </c>
      <c r="B248">
        <v>27</v>
      </c>
      <c r="C248" t="s">
        <v>31</v>
      </c>
      <c r="D248" t="s">
        <v>26</v>
      </c>
      <c r="E248" t="s">
        <v>67</v>
      </c>
      <c r="F248" t="s">
        <v>20</v>
      </c>
      <c r="G248" t="s">
        <v>45</v>
      </c>
      <c r="H248" t="s">
        <v>502</v>
      </c>
      <c r="I248">
        <v>0.6</v>
      </c>
      <c r="J248">
        <v>2</v>
      </c>
      <c r="K248">
        <v>7300</v>
      </c>
      <c r="L248">
        <v>5</v>
      </c>
      <c r="M248">
        <v>5</v>
      </c>
      <c r="N248" t="s">
        <v>23</v>
      </c>
      <c r="O248" t="s">
        <v>24</v>
      </c>
      <c r="P248" t="s">
        <v>23</v>
      </c>
    </row>
    <row r="249" spans="1:16" x14ac:dyDescent="0.2">
      <c r="A249" t="s">
        <v>548</v>
      </c>
      <c r="B249">
        <v>30</v>
      </c>
      <c r="C249" t="s">
        <v>48</v>
      </c>
      <c r="D249" t="s">
        <v>32</v>
      </c>
      <c r="E249" t="s">
        <v>149</v>
      </c>
      <c r="F249" t="s">
        <v>20</v>
      </c>
      <c r="G249" t="s">
        <v>51</v>
      </c>
      <c r="H249" t="s">
        <v>549</v>
      </c>
      <c r="I249">
        <v>4.3</v>
      </c>
      <c r="J249">
        <v>5</v>
      </c>
      <c r="K249">
        <v>19300</v>
      </c>
      <c r="L249">
        <v>5</v>
      </c>
      <c r="M249">
        <v>3</v>
      </c>
      <c r="N249" t="s">
        <v>41</v>
      </c>
      <c r="O249" t="s">
        <v>36</v>
      </c>
      <c r="P249" t="s">
        <v>23</v>
      </c>
    </row>
    <row r="250" spans="1:16" x14ac:dyDescent="0.2">
      <c r="A250" t="s">
        <v>550</v>
      </c>
      <c r="B250">
        <v>38</v>
      </c>
      <c r="C250" t="s">
        <v>48</v>
      </c>
      <c r="D250" t="s">
        <v>32</v>
      </c>
      <c r="E250" t="s">
        <v>33</v>
      </c>
      <c r="F250" t="s">
        <v>50</v>
      </c>
      <c r="G250" t="s">
        <v>28</v>
      </c>
      <c r="H250" t="s">
        <v>551</v>
      </c>
      <c r="I250">
        <v>10.5</v>
      </c>
      <c r="J250">
        <v>11</v>
      </c>
      <c r="K250">
        <v>10800</v>
      </c>
      <c r="L250">
        <v>5</v>
      </c>
      <c r="M250">
        <v>3</v>
      </c>
      <c r="N250" t="s">
        <v>23</v>
      </c>
      <c r="O250" t="s">
        <v>36</v>
      </c>
      <c r="P250" t="s">
        <v>23</v>
      </c>
    </row>
    <row r="251" spans="1:16" x14ac:dyDescent="0.2">
      <c r="A251" t="s">
        <v>552</v>
      </c>
      <c r="B251">
        <v>33</v>
      </c>
      <c r="C251" t="s">
        <v>43</v>
      </c>
      <c r="D251" t="s">
        <v>89</v>
      </c>
      <c r="E251" t="s">
        <v>93</v>
      </c>
      <c r="F251" t="s">
        <v>20</v>
      </c>
      <c r="G251" t="s">
        <v>51</v>
      </c>
      <c r="H251" t="s">
        <v>553</v>
      </c>
      <c r="I251">
        <v>2.2999999999999998</v>
      </c>
      <c r="J251">
        <v>9</v>
      </c>
      <c r="K251">
        <v>8600</v>
      </c>
      <c r="L251">
        <v>4</v>
      </c>
      <c r="M251">
        <v>4</v>
      </c>
      <c r="N251" t="s">
        <v>23</v>
      </c>
      <c r="O251" t="s">
        <v>36</v>
      </c>
      <c r="P251" t="s">
        <v>23</v>
      </c>
    </row>
    <row r="252" spans="1:16" x14ac:dyDescent="0.2">
      <c r="A252" t="s">
        <v>554</v>
      </c>
      <c r="B252">
        <v>29</v>
      </c>
      <c r="C252" t="s">
        <v>31</v>
      </c>
      <c r="D252" t="s">
        <v>18</v>
      </c>
      <c r="E252" t="s">
        <v>160</v>
      </c>
      <c r="F252" t="s">
        <v>20</v>
      </c>
      <c r="G252" t="s">
        <v>51</v>
      </c>
      <c r="H252" t="s">
        <v>555</v>
      </c>
      <c r="I252">
        <v>2.8</v>
      </c>
      <c r="J252">
        <v>2</v>
      </c>
      <c r="K252">
        <v>17200</v>
      </c>
      <c r="L252">
        <v>1</v>
      </c>
      <c r="M252">
        <v>3</v>
      </c>
      <c r="N252" t="s">
        <v>23</v>
      </c>
      <c r="O252" t="s">
        <v>36</v>
      </c>
      <c r="P252" t="s">
        <v>23</v>
      </c>
    </row>
    <row r="253" spans="1:16" x14ac:dyDescent="0.2">
      <c r="A253" t="s">
        <v>556</v>
      </c>
      <c r="B253">
        <v>38</v>
      </c>
      <c r="C253" t="s">
        <v>43</v>
      </c>
      <c r="D253" t="s">
        <v>18</v>
      </c>
      <c r="E253" t="s">
        <v>127</v>
      </c>
      <c r="F253" t="s">
        <v>50</v>
      </c>
      <c r="G253" t="s">
        <v>56</v>
      </c>
      <c r="H253" t="s">
        <v>557</v>
      </c>
      <c r="I253">
        <v>9.9</v>
      </c>
      <c r="J253">
        <v>15</v>
      </c>
      <c r="K253">
        <v>10100</v>
      </c>
      <c r="L253">
        <v>4</v>
      </c>
      <c r="M253">
        <v>2</v>
      </c>
      <c r="N253" t="s">
        <v>41</v>
      </c>
      <c r="O253" t="s">
        <v>24</v>
      </c>
      <c r="P253" t="s">
        <v>23</v>
      </c>
    </row>
    <row r="254" spans="1:16" x14ac:dyDescent="0.2">
      <c r="A254" t="s">
        <v>558</v>
      </c>
      <c r="B254">
        <v>43</v>
      </c>
      <c r="C254" t="s">
        <v>43</v>
      </c>
      <c r="D254" t="s">
        <v>89</v>
      </c>
      <c r="E254" t="s">
        <v>90</v>
      </c>
      <c r="F254" t="s">
        <v>34</v>
      </c>
      <c r="G254" t="s">
        <v>45</v>
      </c>
      <c r="H254" t="s">
        <v>559</v>
      </c>
      <c r="I254">
        <v>5.6</v>
      </c>
      <c r="J254">
        <v>21</v>
      </c>
      <c r="K254">
        <v>12400</v>
      </c>
      <c r="L254">
        <v>3</v>
      </c>
      <c r="M254">
        <v>3</v>
      </c>
      <c r="N254" t="s">
        <v>41</v>
      </c>
      <c r="O254" t="s">
        <v>36</v>
      </c>
      <c r="P254" t="s">
        <v>23</v>
      </c>
    </row>
    <row r="255" spans="1:16" x14ac:dyDescent="0.2">
      <c r="A255" t="s">
        <v>560</v>
      </c>
      <c r="B255">
        <v>38</v>
      </c>
      <c r="C255" t="s">
        <v>43</v>
      </c>
      <c r="D255" t="s">
        <v>18</v>
      </c>
      <c r="E255" t="s">
        <v>127</v>
      </c>
      <c r="F255" t="s">
        <v>34</v>
      </c>
      <c r="G255" t="s">
        <v>21</v>
      </c>
      <c r="H255" t="s">
        <v>561</v>
      </c>
      <c r="I255">
        <v>8.8000000000000007</v>
      </c>
      <c r="J255">
        <v>12</v>
      </c>
      <c r="K255">
        <v>8000</v>
      </c>
      <c r="L255">
        <v>5</v>
      </c>
      <c r="M255">
        <v>5</v>
      </c>
      <c r="N255" t="s">
        <v>23</v>
      </c>
      <c r="O255" t="s">
        <v>24</v>
      </c>
      <c r="P255" t="s">
        <v>23</v>
      </c>
    </row>
    <row r="256" spans="1:16" x14ac:dyDescent="0.2">
      <c r="A256" t="s">
        <v>562</v>
      </c>
      <c r="B256">
        <v>59</v>
      </c>
      <c r="C256" t="s">
        <v>48</v>
      </c>
      <c r="D256" t="s">
        <v>26</v>
      </c>
      <c r="E256" t="s">
        <v>98</v>
      </c>
      <c r="F256" t="s">
        <v>34</v>
      </c>
      <c r="G256" t="s">
        <v>56</v>
      </c>
      <c r="H256" t="s">
        <v>563</v>
      </c>
      <c r="I256">
        <v>6.6</v>
      </c>
      <c r="J256">
        <v>32</v>
      </c>
      <c r="K256">
        <v>17300</v>
      </c>
      <c r="L256">
        <v>3</v>
      </c>
      <c r="M256">
        <v>5</v>
      </c>
      <c r="N256" t="s">
        <v>23</v>
      </c>
      <c r="O256" t="s">
        <v>24</v>
      </c>
      <c r="P256" t="s">
        <v>23</v>
      </c>
    </row>
    <row r="257" spans="1:16" x14ac:dyDescent="0.2">
      <c r="A257" t="s">
        <v>564</v>
      </c>
      <c r="B257">
        <v>58</v>
      </c>
      <c r="C257" t="s">
        <v>17</v>
      </c>
      <c r="D257" t="s">
        <v>89</v>
      </c>
      <c r="E257" t="s">
        <v>101</v>
      </c>
      <c r="F257" t="s">
        <v>50</v>
      </c>
      <c r="G257" t="s">
        <v>21</v>
      </c>
      <c r="H257" t="s">
        <v>565</v>
      </c>
      <c r="I257">
        <v>0.2</v>
      </c>
      <c r="J257">
        <v>37</v>
      </c>
      <c r="K257">
        <v>22800</v>
      </c>
      <c r="L257">
        <v>5</v>
      </c>
      <c r="M257">
        <v>4</v>
      </c>
      <c r="N257" t="s">
        <v>23</v>
      </c>
      <c r="O257" t="s">
        <v>36</v>
      </c>
      <c r="P257" t="s">
        <v>23</v>
      </c>
    </row>
    <row r="258" spans="1:16" x14ac:dyDescent="0.2">
      <c r="A258" t="s">
        <v>566</v>
      </c>
      <c r="B258">
        <v>41</v>
      </c>
      <c r="C258" t="s">
        <v>17</v>
      </c>
      <c r="D258" t="s">
        <v>32</v>
      </c>
      <c r="E258" t="s">
        <v>33</v>
      </c>
      <c r="F258" t="s">
        <v>34</v>
      </c>
      <c r="G258" t="s">
        <v>28</v>
      </c>
      <c r="H258" t="s">
        <v>567</v>
      </c>
      <c r="I258">
        <v>5.9</v>
      </c>
      <c r="J258">
        <v>14</v>
      </c>
      <c r="K258">
        <v>13600</v>
      </c>
      <c r="L258">
        <v>4</v>
      </c>
      <c r="M258">
        <v>5</v>
      </c>
      <c r="N258" t="s">
        <v>23</v>
      </c>
      <c r="O258" t="s">
        <v>24</v>
      </c>
      <c r="P258" t="s">
        <v>23</v>
      </c>
    </row>
    <row r="259" spans="1:16" x14ac:dyDescent="0.2">
      <c r="A259" t="s">
        <v>568</v>
      </c>
      <c r="B259">
        <v>29</v>
      </c>
      <c r="C259" t="s">
        <v>43</v>
      </c>
      <c r="D259" t="s">
        <v>18</v>
      </c>
      <c r="E259" t="s">
        <v>199</v>
      </c>
      <c r="F259" t="s">
        <v>50</v>
      </c>
      <c r="G259" t="s">
        <v>45</v>
      </c>
      <c r="H259" t="s">
        <v>569</v>
      </c>
      <c r="I259">
        <v>0.2</v>
      </c>
      <c r="J259">
        <v>3</v>
      </c>
      <c r="K259">
        <v>11500</v>
      </c>
      <c r="L259">
        <v>5</v>
      </c>
      <c r="M259">
        <v>3</v>
      </c>
      <c r="N259" t="s">
        <v>23</v>
      </c>
      <c r="O259" t="s">
        <v>24</v>
      </c>
      <c r="P259" t="s">
        <v>41</v>
      </c>
    </row>
    <row r="260" spans="1:16" x14ac:dyDescent="0.2">
      <c r="A260" t="s">
        <v>570</v>
      </c>
      <c r="B260">
        <v>43</v>
      </c>
      <c r="C260" t="s">
        <v>48</v>
      </c>
      <c r="D260" t="s">
        <v>18</v>
      </c>
      <c r="E260" t="s">
        <v>160</v>
      </c>
      <c r="F260" t="s">
        <v>34</v>
      </c>
      <c r="G260" t="s">
        <v>56</v>
      </c>
      <c r="H260" t="s">
        <v>571</v>
      </c>
      <c r="I260">
        <v>6.4</v>
      </c>
      <c r="J260">
        <v>18</v>
      </c>
      <c r="K260">
        <v>18500</v>
      </c>
      <c r="L260">
        <v>4</v>
      </c>
      <c r="M260">
        <v>5</v>
      </c>
      <c r="N260" t="s">
        <v>41</v>
      </c>
      <c r="O260" t="s">
        <v>24</v>
      </c>
      <c r="P260" t="s">
        <v>23</v>
      </c>
    </row>
    <row r="261" spans="1:16" x14ac:dyDescent="0.2">
      <c r="A261" t="s">
        <v>572</v>
      </c>
      <c r="B261">
        <v>26</v>
      </c>
      <c r="C261" t="s">
        <v>17</v>
      </c>
      <c r="D261" t="s">
        <v>26</v>
      </c>
      <c r="E261" t="s">
        <v>98</v>
      </c>
      <c r="F261" t="s">
        <v>50</v>
      </c>
      <c r="G261" t="s">
        <v>21</v>
      </c>
      <c r="H261" t="s">
        <v>573</v>
      </c>
      <c r="I261">
        <v>1.9</v>
      </c>
      <c r="J261">
        <v>4</v>
      </c>
      <c r="K261">
        <v>10900</v>
      </c>
      <c r="L261">
        <v>3</v>
      </c>
      <c r="M261">
        <v>5</v>
      </c>
      <c r="N261" t="s">
        <v>23</v>
      </c>
      <c r="O261" t="s">
        <v>36</v>
      </c>
      <c r="P261" t="s">
        <v>23</v>
      </c>
    </row>
    <row r="262" spans="1:16" x14ac:dyDescent="0.2">
      <c r="A262" t="s">
        <v>574</v>
      </c>
      <c r="B262">
        <v>51</v>
      </c>
      <c r="C262" t="s">
        <v>43</v>
      </c>
      <c r="D262" t="s">
        <v>18</v>
      </c>
      <c r="E262" t="s">
        <v>19</v>
      </c>
      <c r="F262" t="s">
        <v>50</v>
      </c>
      <c r="G262" t="s">
        <v>28</v>
      </c>
      <c r="H262" t="s">
        <v>575</v>
      </c>
      <c r="I262">
        <v>10.8</v>
      </c>
      <c r="J262">
        <v>29</v>
      </c>
      <c r="K262">
        <v>13800</v>
      </c>
      <c r="L262">
        <v>3</v>
      </c>
      <c r="M262">
        <v>3</v>
      </c>
      <c r="N262" t="s">
        <v>41</v>
      </c>
      <c r="O262" t="s">
        <v>36</v>
      </c>
      <c r="P262" t="s">
        <v>23</v>
      </c>
    </row>
    <row r="263" spans="1:16" x14ac:dyDescent="0.2">
      <c r="A263" t="s">
        <v>576</v>
      </c>
      <c r="B263">
        <v>30</v>
      </c>
      <c r="C263" t="s">
        <v>48</v>
      </c>
      <c r="D263" t="s">
        <v>89</v>
      </c>
      <c r="E263" t="s">
        <v>101</v>
      </c>
      <c r="F263" t="s">
        <v>20</v>
      </c>
      <c r="G263" t="s">
        <v>45</v>
      </c>
      <c r="H263" t="s">
        <v>577</v>
      </c>
      <c r="I263">
        <v>7.7</v>
      </c>
      <c r="J263">
        <v>7</v>
      </c>
      <c r="K263">
        <v>15000</v>
      </c>
      <c r="L263">
        <v>3</v>
      </c>
      <c r="M263">
        <v>4</v>
      </c>
      <c r="N263" t="s">
        <v>41</v>
      </c>
      <c r="O263" t="s">
        <v>36</v>
      </c>
      <c r="P263" t="s">
        <v>41</v>
      </c>
    </row>
    <row r="264" spans="1:16" x14ac:dyDescent="0.2">
      <c r="A264" t="s">
        <v>578</v>
      </c>
      <c r="B264">
        <v>52</v>
      </c>
      <c r="C264" t="s">
        <v>43</v>
      </c>
      <c r="D264" t="s">
        <v>89</v>
      </c>
      <c r="E264" t="s">
        <v>142</v>
      </c>
      <c r="F264" t="s">
        <v>34</v>
      </c>
      <c r="G264" t="s">
        <v>51</v>
      </c>
      <c r="H264" t="s">
        <v>579</v>
      </c>
      <c r="I264">
        <v>1.9</v>
      </c>
      <c r="J264">
        <v>25</v>
      </c>
      <c r="K264">
        <v>15200</v>
      </c>
      <c r="L264">
        <v>3</v>
      </c>
      <c r="M264">
        <v>3</v>
      </c>
      <c r="N264" t="s">
        <v>23</v>
      </c>
      <c r="O264" t="s">
        <v>24</v>
      </c>
      <c r="P264" t="s">
        <v>41</v>
      </c>
    </row>
    <row r="265" spans="1:16" x14ac:dyDescent="0.2">
      <c r="A265" t="s">
        <v>580</v>
      </c>
      <c r="B265">
        <v>54</v>
      </c>
      <c r="C265" t="s">
        <v>31</v>
      </c>
      <c r="D265" t="s">
        <v>54</v>
      </c>
      <c r="E265" t="s">
        <v>64</v>
      </c>
      <c r="F265" t="s">
        <v>34</v>
      </c>
      <c r="G265" t="s">
        <v>56</v>
      </c>
      <c r="H265" t="s">
        <v>581</v>
      </c>
      <c r="I265">
        <v>0.4</v>
      </c>
      <c r="J265">
        <v>32</v>
      </c>
      <c r="K265">
        <v>14000</v>
      </c>
      <c r="L265">
        <v>4</v>
      </c>
      <c r="M265">
        <v>3</v>
      </c>
      <c r="N265" t="s">
        <v>23</v>
      </c>
      <c r="O265" t="s">
        <v>24</v>
      </c>
      <c r="P265" t="s">
        <v>23</v>
      </c>
    </row>
    <row r="266" spans="1:16" x14ac:dyDescent="0.2">
      <c r="A266" t="s">
        <v>582</v>
      </c>
      <c r="B266">
        <v>25</v>
      </c>
      <c r="C266" t="s">
        <v>43</v>
      </c>
      <c r="D266" t="s">
        <v>32</v>
      </c>
      <c r="E266" t="s">
        <v>104</v>
      </c>
      <c r="F266" t="s">
        <v>50</v>
      </c>
      <c r="G266" t="s">
        <v>28</v>
      </c>
      <c r="H266" t="s">
        <v>583</v>
      </c>
      <c r="I266">
        <v>0.1</v>
      </c>
      <c r="J266">
        <v>0</v>
      </c>
      <c r="K266">
        <v>11600</v>
      </c>
      <c r="L266">
        <v>3</v>
      </c>
      <c r="M266">
        <v>4</v>
      </c>
      <c r="N266" t="s">
        <v>23</v>
      </c>
      <c r="O266" t="s">
        <v>24</v>
      </c>
      <c r="P266" t="s">
        <v>23</v>
      </c>
    </row>
    <row r="267" spans="1:16" x14ac:dyDescent="0.2">
      <c r="A267" t="s">
        <v>584</v>
      </c>
      <c r="B267">
        <v>31</v>
      </c>
      <c r="C267" t="s">
        <v>17</v>
      </c>
      <c r="D267" t="s">
        <v>32</v>
      </c>
      <c r="E267" t="s">
        <v>104</v>
      </c>
      <c r="F267" t="s">
        <v>50</v>
      </c>
      <c r="G267" t="s">
        <v>21</v>
      </c>
      <c r="H267" t="s">
        <v>585</v>
      </c>
      <c r="I267">
        <v>2.2000000000000002</v>
      </c>
      <c r="J267">
        <v>4</v>
      </c>
      <c r="K267">
        <v>12100</v>
      </c>
      <c r="L267">
        <v>2</v>
      </c>
      <c r="M267">
        <v>5</v>
      </c>
      <c r="N267" t="s">
        <v>41</v>
      </c>
      <c r="O267" t="s">
        <v>24</v>
      </c>
      <c r="P267" t="s">
        <v>23</v>
      </c>
    </row>
    <row r="268" spans="1:16" x14ac:dyDescent="0.2">
      <c r="A268" t="s">
        <v>586</v>
      </c>
      <c r="B268">
        <v>55</v>
      </c>
      <c r="C268" t="s">
        <v>31</v>
      </c>
      <c r="D268" t="s">
        <v>38</v>
      </c>
      <c r="E268" t="s">
        <v>44</v>
      </c>
      <c r="F268" t="s">
        <v>20</v>
      </c>
      <c r="G268" t="s">
        <v>56</v>
      </c>
      <c r="H268" t="s">
        <v>587</v>
      </c>
      <c r="I268">
        <v>1.1000000000000001</v>
      </c>
      <c r="J268">
        <v>30</v>
      </c>
      <c r="K268">
        <v>18900</v>
      </c>
      <c r="L268">
        <v>4</v>
      </c>
      <c r="M268">
        <v>4</v>
      </c>
      <c r="N268" t="s">
        <v>41</v>
      </c>
      <c r="O268" t="s">
        <v>36</v>
      </c>
      <c r="P268" t="s">
        <v>23</v>
      </c>
    </row>
    <row r="269" spans="1:16" x14ac:dyDescent="0.2">
      <c r="A269" t="s">
        <v>588</v>
      </c>
      <c r="B269">
        <v>30</v>
      </c>
      <c r="C269" t="s">
        <v>43</v>
      </c>
      <c r="D269" t="s">
        <v>32</v>
      </c>
      <c r="E269" t="s">
        <v>149</v>
      </c>
      <c r="F269" t="s">
        <v>50</v>
      </c>
      <c r="G269" t="s">
        <v>21</v>
      </c>
      <c r="H269" t="s">
        <v>589</v>
      </c>
      <c r="I269">
        <v>7.4</v>
      </c>
      <c r="J269">
        <v>8</v>
      </c>
      <c r="K269">
        <v>20800</v>
      </c>
      <c r="L269">
        <v>1</v>
      </c>
      <c r="M269">
        <v>3</v>
      </c>
      <c r="N269" t="s">
        <v>41</v>
      </c>
      <c r="O269" t="s">
        <v>24</v>
      </c>
      <c r="P269" t="s">
        <v>23</v>
      </c>
    </row>
    <row r="270" spans="1:16" x14ac:dyDescent="0.2">
      <c r="A270" t="s">
        <v>590</v>
      </c>
      <c r="B270">
        <v>39</v>
      </c>
      <c r="C270" t="s">
        <v>31</v>
      </c>
      <c r="D270" t="s">
        <v>89</v>
      </c>
      <c r="E270" t="s">
        <v>93</v>
      </c>
      <c r="F270" t="s">
        <v>50</v>
      </c>
      <c r="G270" t="s">
        <v>45</v>
      </c>
      <c r="H270" t="s">
        <v>591</v>
      </c>
      <c r="I270">
        <v>2.2999999999999998</v>
      </c>
      <c r="J270">
        <v>18</v>
      </c>
      <c r="K270">
        <v>9400</v>
      </c>
      <c r="L270">
        <v>4</v>
      </c>
      <c r="M270">
        <v>4</v>
      </c>
      <c r="N270" t="s">
        <v>23</v>
      </c>
      <c r="O270" t="s">
        <v>80</v>
      </c>
      <c r="P270" t="s">
        <v>23</v>
      </c>
    </row>
    <row r="271" spans="1:16" x14ac:dyDescent="0.2">
      <c r="A271" t="s">
        <v>592</v>
      </c>
      <c r="B271">
        <v>34</v>
      </c>
      <c r="C271" t="s">
        <v>43</v>
      </c>
      <c r="D271" t="s">
        <v>54</v>
      </c>
      <c r="E271" t="s">
        <v>134</v>
      </c>
      <c r="F271" t="s">
        <v>20</v>
      </c>
      <c r="G271" t="s">
        <v>56</v>
      </c>
      <c r="H271" t="s">
        <v>593</v>
      </c>
      <c r="I271">
        <v>5.2</v>
      </c>
      <c r="J271">
        <v>8</v>
      </c>
      <c r="K271">
        <v>15800</v>
      </c>
      <c r="L271">
        <v>1</v>
      </c>
      <c r="M271">
        <v>4</v>
      </c>
      <c r="N271" t="s">
        <v>23</v>
      </c>
      <c r="O271" t="s">
        <v>36</v>
      </c>
      <c r="P271" t="s">
        <v>23</v>
      </c>
    </row>
    <row r="272" spans="1:16" x14ac:dyDescent="0.2">
      <c r="A272" t="s">
        <v>594</v>
      </c>
      <c r="B272">
        <v>37</v>
      </c>
      <c r="C272" t="s">
        <v>48</v>
      </c>
      <c r="D272" t="s">
        <v>54</v>
      </c>
      <c r="E272" t="s">
        <v>82</v>
      </c>
      <c r="F272" t="s">
        <v>34</v>
      </c>
      <c r="G272" t="s">
        <v>51</v>
      </c>
      <c r="H272" t="s">
        <v>595</v>
      </c>
      <c r="I272">
        <v>5</v>
      </c>
      <c r="J272">
        <v>11</v>
      </c>
      <c r="K272">
        <v>8500</v>
      </c>
      <c r="L272">
        <v>3</v>
      </c>
      <c r="M272">
        <v>2</v>
      </c>
      <c r="N272" t="s">
        <v>23</v>
      </c>
      <c r="O272" t="s">
        <v>36</v>
      </c>
      <c r="P272" t="s">
        <v>23</v>
      </c>
    </row>
    <row r="273" spans="1:16" x14ac:dyDescent="0.2">
      <c r="A273" t="s">
        <v>596</v>
      </c>
      <c r="B273">
        <v>27</v>
      </c>
      <c r="C273" t="s">
        <v>17</v>
      </c>
      <c r="D273" t="s">
        <v>38</v>
      </c>
      <c r="E273" t="s">
        <v>39</v>
      </c>
      <c r="F273" t="s">
        <v>50</v>
      </c>
      <c r="G273" t="s">
        <v>51</v>
      </c>
      <c r="H273" t="s">
        <v>597</v>
      </c>
      <c r="I273">
        <v>0.1</v>
      </c>
      <c r="J273">
        <v>0</v>
      </c>
      <c r="K273">
        <v>9400</v>
      </c>
      <c r="L273">
        <v>4</v>
      </c>
      <c r="M273">
        <v>3</v>
      </c>
      <c r="N273" t="s">
        <v>23</v>
      </c>
      <c r="O273" t="s">
        <v>24</v>
      </c>
      <c r="P273" t="s">
        <v>23</v>
      </c>
    </row>
    <row r="274" spans="1:16" x14ac:dyDescent="0.2">
      <c r="A274" t="s">
        <v>598</v>
      </c>
      <c r="B274">
        <v>46</v>
      </c>
      <c r="C274" t="s">
        <v>43</v>
      </c>
      <c r="D274" t="s">
        <v>26</v>
      </c>
      <c r="E274" t="s">
        <v>67</v>
      </c>
      <c r="F274" t="s">
        <v>34</v>
      </c>
      <c r="G274" t="s">
        <v>21</v>
      </c>
      <c r="H274" t="s">
        <v>599</v>
      </c>
      <c r="I274">
        <v>9.8000000000000007</v>
      </c>
      <c r="J274">
        <v>22</v>
      </c>
      <c r="K274">
        <v>11300</v>
      </c>
      <c r="L274">
        <v>4</v>
      </c>
      <c r="M274">
        <v>3</v>
      </c>
      <c r="N274" t="s">
        <v>23</v>
      </c>
      <c r="O274" t="s">
        <v>36</v>
      </c>
      <c r="P274" t="s">
        <v>23</v>
      </c>
    </row>
    <row r="275" spans="1:16" x14ac:dyDescent="0.2">
      <c r="A275" t="s">
        <v>600</v>
      </c>
      <c r="B275">
        <v>47</v>
      </c>
      <c r="C275" t="s">
        <v>43</v>
      </c>
      <c r="D275" t="s">
        <v>26</v>
      </c>
      <c r="E275" t="s">
        <v>67</v>
      </c>
      <c r="F275" t="s">
        <v>50</v>
      </c>
      <c r="G275" t="s">
        <v>28</v>
      </c>
      <c r="H275" t="s">
        <v>601</v>
      </c>
      <c r="I275">
        <v>10.3</v>
      </c>
      <c r="J275">
        <v>22</v>
      </c>
      <c r="K275">
        <v>12100</v>
      </c>
      <c r="L275">
        <v>4</v>
      </c>
      <c r="M275">
        <v>3</v>
      </c>
      <c r="N275" t="s">
        <v>23</v>
      </c>
      <c r="O275" t="s">
        <v>24</v>
      </c>
      <c r="P275" t="s">
        <v>41</v>
      </c>
    </row>
    <row r="276" spans="1:16" x14ac:dyDescent="0.2">
      <c r="A276" t="s">
        <v>602</v>
      </c>
      <c r="B276">
        <v>49</v>
      </c>
      <c r="C276" t="s">
        <v>43</v>
      </c>
      <c r="D276" t="s">
        <v>54</v>
      </c>
      <c r="E276" t="s">
        <v>134</v>
      </c>
      <c r="F276" t="s">
        <v>34</v>
      </c>
      <c r="G276" t="s">
        <v>51</v>
      </c>
      <c r="H276" t="s">
        <v>603</v>
      </c>
      <c r="I276">
        <v>1.4</v>
      </c>
      <c r="J276">
        <v>28</v>
      </c>
      <c r="K276">
        <v>21100</v>
      </c>
      <c r="L276">
        <v>3</v>
      </c>
      <c r="M276">
        <v>4</v>
      </c>
      <c r="N276" t="s">
        <v>23</v>
      </c>
      <c r="O276" t="s">
        <v>36</v>
      </c>
      <c r="P276" t="s">
        <v>23</v>
      </c>
    </row>
    <row r="277" spans="1:16" x14ac:dyDescent="0.2">
      <c r="A277" t="s">
        <v>604</v>
      </c>
      <c r="B277">
        <v>48</v>
      </c>
      <c r="C277" t="s">
        <v>17</v>
      </c>
      <c r="D277" t="s">
        <v>89</v>
      </c>
      <c r="E277" t="s">
        <v>93</v>
      </c>
      <c r="F277" t="s">
        <v>20</v>
      </c>
      <c r="G277" t="s">
        <v>45</v>
      </c>
      <c r="H277" t="s">
        <v>605</v>
      </c>
      <c r="I277">
        <v>5.3</v>
      </c>
      <c r="J277">
        <v>22</v>
      </c>
      <c r="K277">
        <v>10700</v>
      </c>
      <c r="L277">
        <v>4</v>
      </c>
      <c r="M277">
        <v>4</v>
      </c>
      <c r="N277" t="s">
        <v>41</v>
      </c>
      <c r="O277" t="s">
        <v>36</v>
      </c>
      <c r="P277" t="s">
        <v>23</v>
      </c>
    </row>
    <row r="278" spans="1:16" x14ac:dyDescent="0.2">
      <c r="A278" t="s">
        <v>606</v>
      </c>
      <c r="B278">
        <v>52</v>
      </c>
      <c r="C278" t="s">
        <v>31</v>
      </c>
      <c r="D278" t="s">
        <v>89</v>
      </c>
      <c r="E278" t="s">
        <v>101</v>
      </c>
      <c r="F278" t="s">
        <v>50</v>
      </c>
      <c r="G278" t="s">
        <v>45</v>
      </c>
      <c r="H278" t="s">
        <v>607</v>
      </c>
      <c r="I278">
        <v>3.6</v>
      </c>
      <c r="J278">
        <v>25</v>
      </c>
      <c r="K278">
        <v>19900</v>
      </c>
      <c r="L278">
        <v>3</v>
      </c>
      <c r="M278">
        <v>3</v>
      </c>
      <c r="N278" t="s">
        <v>41</v>
      </c>
      <c r="O278" t="s">
        <v>24</v>
      </c>
      <c r="P278" t="s">
        <v>23</v>
      </c>
    </row>
    <row r="279" spans="1:16" x14ac:dyDescent="0.2">
      <c r="A279" t="s">
        <v>608</v>
      </c>
      <c r="B279">
        <v>49</v>
      </c>
      <c r="C279" t="s">
        <v>17</v>
      </c>
      <c r="D279" t="s">
        <v>54</v>
      </c>
      <c r="E279" t="s">
        <v>134</v>
      </c>
      <c r="F279" t="s">
        <v>50</v>
      </c>
      <c r="G279" t="s">
        <v>28</v>
      </c>
      <c r="H279" t="s">
        <v>609</v>
      </c>
      <c r="I279">
        <v>12.2</v>
      </c>
      <c r="J279">
        <v>22</v>
      </c>
      <c r="K279">
        <v>17700</v>
      </c>
      <c r="L279">
        <v>5</v>
      </c>
      <c r="M279">
        <v>3</v>
      </c>
      <c r="N279" t="s">
        <v>41</v>
      </c>
      <c r="O279" t="s">
        <v>24</v>
      </c>
      <c r="P279" t="s">
        <v>23</v>
      </c>
    </row>
    <row r="280" spans="1:16" x14ac:dyDescent="0.2">
      <c r="A280" t="s">
        <v>610</v>
      </c>
      <c r="B280">
        <v>26</v>
      </c>
      <c r="C280" t="s">
        <v>48</v>
      </c>
      <c r="D280" t="s">
        <v>54</v>
      </c>
      <c r="E280" t="s">
        <v>82</v>
      </c>
      <c r="F280" t="s">
        <v>20</v>
      </c>
      <c r="G280" t="s">
        <v>45</v>
      </c>
      <c r="H280" t="s">
        <v>611</v>
      </c>
      <c r="I280">
        <v>0.8</v>
      </c>
      <c r="J280">
        <v>0</v>
      </c>
      <c r="K280">
        <v>7900</v>
      </c>
      <c r="L280">
        <v>3</v>
      </c>
      <c r="M280">
        <v>3</v>
      </c>
      <c r="N280" t="s">
        <v>41</v>
      </c>
      <c r="O280" t="s">
        <v>36</v>
      </c>
      <c r="P280" t="s">
        <v>23</v>
      </c>
    </row>
    <row r="281" spans="1:16" x14ac:dyDescent="0.2">
      <c r="A281" t="s">
        <v>612</v>
      </c>
      <c r="B281">
        <v>56</v>
      </c>
      <c r="C281" t="s">
        <v>17</v>
      </c>
      <c r="D281" t="s">
        <v>38</v>
      </c>
      <c r="E281" t="s">
        <v>44</v>
      </c>
      <c r="F281" t="s">
        <v>50</v>
      </c>
      <c r="G281" t="s">
        <v>51</v>
      </c>
      <c r="H281" t="s">
        <v>613</v>
      </c>
      <c r="I281">
        <v>13.2</v>
      </c>
      <c r="J281">
        <v>29</v>
      </c>
      <c r="K281">
        <v>20500</v>
      </c>
      <c r="L281">
        <v>4</v>
      </c>
      <c r="M281">
        <v>3</v>
      </c>
      <c r="N281" t="s">
        <v>23</v>
      </c>
      <c r="O281" t="s">
        <v>24</v>
      </c>
      <c r="P281" t="s">
        <v>23</v>
      </c>
    </row>
    <row r="282" spans="1:16" x14ac:dyDescent="0.2">
      <c r="A282" t="s">
        <v>614</v>
      </c>
      <c r="B282">
        <v>56</v>
      </c>
      <c r="C282" t="s">
        <v>17</v>
      </c>
      <c r="D282" t="s">
        <v>18</v>
      </c>
      <c r="E282" t="s">
        <v>199</v>
      </c>
      <c r="F282" t="s">
        <v>50</v>
      </c>
      <c r="G282" t="s">
        <v>56</v>
      </c>
      <c r="H282" t="s">
        <v>615</v>
      </c>
      <c r="I282">
        <v>8</v>
      </c>
      <c r="J282">
        <v>31</v>
      </c>
      <c r="K282">
        <v>15000</v>
      </c>
      <c r="L282">
        <v>1</v>
      </c>
      <c r="M282">
        <v>3</v>
      </c>
      <c r="N282" t="s">
        <v>41</v>
      </c>
      <c r="O282" t="s">
        <v>36</v>
      </c>
      <c r="P282" t="s">
        <v>23</v>
      </c>
    </row>
    <row r="283" spans="1:16" x14ac:dyDescent="0.2">
      <c r="A283" t="s">
        <v>616</v>
      </c>
      <c r="B283">
        <v>28</v>
      </c>
      <c r="C283" t="s">
        <v>17</v>
      </c>
      <c r="D283" t="s">
        <v>26</v>
      </c>
      <c r="E283" t="s">
        <v>27</v>
      </c>
      <c r="F283" t="s">
        <v>50</v>
      </c>
      <c r="G283" t="s">
        <v>28</v>
      </c>
      <c r="H283" t="s">
        <v>617</v>
      </c>
      <c r="I283">
        <v>1.1000000000000001</v>
      </c>
      <c r="J283">
        <v>1</v>
      </c>
      <c r="K283">
        <v>16600</v>
      </c>
      <c r="L283">
        <v>4</v>
      </c>
      <c r="M283">
        <v>3</v>
      </c>
      <c r="N283" t="s">
        <v>23</v>
      </c>
      <c r="O283" t="s">
        <v>36</v>
      </c>
      <c r="P283" t="s">
        <v>41</v>
      </c>
    </row>
    <row r="284" spans="1:16" x14ac:dyDescent="0.2">
      <c r="A284" t="s">
        <v>618</v>
      </c>
      <c r="B284">
        <v>52</v>
      </c>
      <c r="C284" t="s">
        <v>43</v>
      </c>
      <c r="D284" t="s">
        <v>18</v>
      </c>
      <c r="E284" t="s">
        <v>127</v>
      </c>
      <c r="F284" t="s">
        <v>34</v>
      </c>
      <c r="G284" t="s">
        <v>56</v>
      </c>
      <c r="H284" t="s">
        <v>619</v>
      </c>
      <c r="I284">
        <v>11.3</v>
      </c>
      <c r="J284">
        <v>31</v>
      </c>
      <c r="K284">
        <v>11600</v>
      </c>
      <c r="L284">
        <v>4</v>
      </c>
      <c r="M284">
        <v>3</v>
      </c>
      <c r="N284" t="s">
        <v>23</v>
      </c>
      <c r="O284" t="s">
        <v>80</v>
      </c>
      <c r="P284" t="s">
        <v>23</v>
      </c>
    </row>
    <row r="285" spans="1:16" x14ac:dyDescent="0.2">
      <c r="A285" t="s">
        <v>620</v>
      </c>
      <c r="B285">
        <v>27</v>
      </c>
      <c r="C285" t="s">
        <v>43</v>
      </c>
      <c r="D285" t="s">
        <v>26</v>
      </c>
      <c r="E285" t="s">
        <v>27</v>
      </c>
      <c r="F285" t="s">
        <v>50</v>
      </c>
      <c r="G285" t="s">
        <v>28</v>
      </c>
      <c r="H285" t="s">
        <v>621</v>
      </c>
      <c r="I285">
        <v>3.6</v>
      </c>
      <c r="J285">
        <v>3</v>
      </c>
      <c r="K285">
        <v>17600</v>
      </c>
      <c r="L285">
        <v>5</v>
      </c>
      <c r="M285">
        <v>3</v>
      </c>
      <c r="N285" t="s">
        <v>23</v>
      </c>
      <c r="O285" t="s">
        <v>80</v>
      </c>
      <c r="P285" t="s">
        <v>23</v>
      </c>
    </row>
    <row r="286" spans="1:16" x14ac:dyDescent="0.2">
      <c r="A286" t="s">
        <v>622</v>
      </c>
      <c r="B286">
        <v>49</v>
      </c>
      <c r="C286" t="s">
        <v>48</v>
      </c>
      <c r="D286" t="s">
        <v>32</v>
      </c>
      <c r="E286" t="s">
        <v>33</v>
      </c>
      <c r="F286" t="s">
        <v>34</v>
      </c>
      <c r="G286" t="s">
        <v>56</v>
      </c>
      <c r="H286" t="s">
        <v>623</v>
      </c>
      <c r="I286">
        <v>2.9</v>
      </c>
      <c r="J286">
        <v>22</v>
      </c>
      <c r="K286">
        <v>14000</v>
      </c>
      <c r="L286">
        <v>4</v>
      </c>
      <c r="M286">
        <v>5</v>
      </c>
      <c r="N286" t="s">
        <v>23</v>
      </c>
      <c r="O286" t="s">
        <v>36</v>
      </c>
      <c r="P286" t="s">
        <v>23</v>
      </c>
    </row>
    <row r="287" spans="1:16" x14ac:dyDescent="0.2">
      <c r="A287" t="s">
        <v>624</v>
      </c>
      <c r="B287">
        <v>33</v>
      </c>
      <c r="C287" t="s">
        <v>48</v>
      </c>
      <c r="D287" t="s">
        <v>18</v>
      </c>
      <c r="E287" t="s">
        <v>127</v>
      </c>
      <c r="F287" t="s">
        <v>34</v>
      </c>
      <c r="G287" t="s">
        <v>21</v>
      </c>
      <c r="H287" t="s">
        <v>625</v>
      </c>
      <c r="I287">
        <v>6.2</v>
      </c>
      <c r="J287">
        <v>11</v>
      </c>
      <c r="K287">
        <v>9200</v>
      </c>
      <c r="L287">
        <v>5</v>
      </c>
      <c r="M287">
        <v>2</v>
      </c>
      <c r="N287" t="s">
        <v>23</v>
      </c>
      <c r="O287" t="s">
        <v>80</v>
      </c>
      <c r="P287" t="s">
        <v>23</v>
      </c>
    </row>
    <row r="288" spans="1:16" x14ac:dyDescent="0.2">
      <c r="A288" t="s">
        <v>626</v>
      </c>
      <c r="B288">
        <v>58</v>
      </c>
      <c r="C288" t="s">
        <v>17</v>
      </c>
      <c r="D288" t="s">
        <v>32</v>
      </c>
      <c r="E288" t="s">
        <v>149</v>
      </c>
      <c r="F288" t="s">
        <v>34</v>
      </c>
      <c r="G288" t="s">
        <v>21</v>
      </c>
      <c r="H288" t="s">
        <v>627</v>
      </c>
      <c r="I288">
        <v>14.2</v>
      </c>
      <c r="J288">
        <v>33</v>
      </c>
      <c r="K288">
        <v>24400</v>
      </c>
      <c r="L288">
        <v>4</v>
      </c>
      <c r="M288">
        <v>5</v>
      </c>
      <c r="N288" t="s">
        <v>23</v>
      </c>
      <c r="O288" t="s">
        <v>36</v>
      </c>
      <c r="P288" t="s">
        <v>23</v>
      </c>
    </row>
    <row r="289" spans="1:16" x14ac:dyDescent="0.2">
      <c r="A289" t="s">
        <v>628</v>
      </c>
      <c r="B289">
        <v>30</v>
      </c>
      <c r="C289" t="s">
        <v>17</v>
      </c>
      <c r="D289" t="s">
        <v>54</v>
      </c>
      <c r="E289" t="s">
        <v>134</v>
      </c>
      <c r="F289" t="s">
        <v>34</v>
      </c>
      <c r="G289" t="s">
        <v>51</v>
      </c>
      <c r="H289" t="s">
        <v>629</v>
      </c>
      <c r="I289">
        <v>7.2</v>
      </c>
      <c r="J289">
        <v>9</v>
      </c>
      <c r="K289">
        <v>15900</v>
      </c>
      <c r="L289">
        <v>3</v>
      </c>
      <c r="M289">
        <v>4</v>
      </c>
      <c r="N289" t="s">
        <v>23</v>
      </c>
      <c r="O289" t="s">
        <v>36</v>
      </c>
      <c r="P289" t="s">
        <v>23</v>
      </c>
    </row>
    <row r="290" spans="1:16" x14ac:dyDescent="0.2">
      <c r="A290" t="s">
        <v>630</v>
      </c>
      <c r="B290">
        <v>43</v>
      </c>
      <c r="C290" t="s">
        <v>43</v>
      </c>
      <c r="D290" t="s">
        <v>26</v>
      </c>
      <c r="E290" t="s">
        <v>67</v>
      </c>
      <c r="F290" t="s">
        <v>34</v>
      </c>
      <c r="G290" t="s">
        <v>51</v>
      </c>
      <c r="H290" t="s">
        <v>72</v>
      </c>
      <c r="I290">
        <v>9.6999999999999993</v>
      </c>
      <c r="J290">
        <v>16</v>
      </c>
      <c r="K290">
        <v>11200</v>
      </c>
      <c r="L290">
        <v>5</v>
      </c>
      <c r="M290">
        <v>4</v>
      </c>
      <c r="N290" t="s">
        <v>23</v>
      </c>
      <c r="O290" t="s">
        <v>36</v>
      </c>
      <c r="P290" t="s">
        <v>23</v>
      </c>
    </row>
    <row r="291" spans="1:16" x14ac:dyDescent="0.2">
      <c r="A291" t="s">
        <v>631</v>
      </c>
      <c r="B291">
        <v>45</v>
      </c>
      <c r="C291" t="s">
        <v>31</v>
      </c>
      <c r="D291" t="s">
        <v>18</v>
      </c>
      <c r="E291" t="s">
        <v>19</v>
      </c>
      <c r="F291" t="s">
        <v>20</v>
      </c>
      <c r="G291" t="s">
        <v>51</v>
      </c>
      <c r="H291" t="s">
        <v>632</v>
      </c>
      <c r="I291">
        <v>8.9</v>
      </c>
      <c r="J291">
        <v>21</v>
      </c>
      <c r="K291">
        <v>10900</v>
      </c>
      <c r="L291">
        <v>5</v>
      </c>
      <c r="M291">
        <v>2</v>
      </c>
      <c r="N291" t="s">
        <v>23</v>
      </c>
      <c r="O291" t="s">
        <v>24</v>
      </c>
      <c r="P291" t="s">
        <v>23</v>
      </c>
    </row>
    <row r="292" spans="1:16" x14ac:dyDescent="0.2">
      <c r="A292" t="s">
        <v>633</v>
      </c>
      <c r="B292">
        <v>33</v>
      </c>
      <c r="C292" t="s">
        <v>48</v>
      </c>
      <c r="D292" t="s">
        <v>89</v>
      </c>
      <c r="E292" t="s">
        <v>142</v>
      </c>
      <c r="F292" t="s">
        <v>34</v>
      </c>
      <c r="G292" t="s">
        <v>51</v>
      </c>
      <c r="H292" t="s">
        <v>634</v>
      </c>
      <c r="I292">
        <v>9.6</v>
      </c>
      <c r="J292">
        <v>10</v>
      </c>
      <c r="K292">
        <v>12800</v>
      </c>
      <c r="L292">
        <v>1</v>
      </c>
      <c r="M292">
        <v>5</v>
      </c>
      <c r="N292" t="s">
        <v>23</v>
      </c>
      <c r="O292" t="s">
        <v>24</v>
      </c>
      <c r="P292" t="s">
        <v>41</v>
      </c>
    </row>
    <row r="293" spans="1:16" x14ac:dyDescent="0.2">
      <c r="A293" t="s">
        <v>635</v>
      </c>
      <c r="B293">
        <v>58</v>
      </c>
      <c r="C293" t="s">
        <v>48</v>
      </c>
      <c r="D293" t="s">
        <v>26</v>
      </c>
      <c r="E293" t="s">
        <v>27</v>
      </c>
      <c r="F293" t="s">
        <v>50</v>
      </c>
      <c r="G293" t="s">
        <v>56</v>
      </c>
      <c r="H293" t="s">
        <v>636</v>
      </c>
      <c r="I293">
        <v>5.5</v>
      </c>
      <c r="J293">
        <v>31</v>
      </c>
      <c r="K293">
        <v>21500</v>
      </c>
      <c r="L293">
        <v>3</v>
      </c>
      <c r="M293">
        <v>5</v>
      </c>
      <c r="N293" t="s">
        <v>41</v>
      </c>
      <c r="O293" t="s">
        <v>80</v>
      </c>
      <c r="P293" t="s">
        <v>23</v>
      </c>
    </row>
    <row r="294" spans="1:16" x14ac:dyDescent="0.2">
      <c r="A294" t="s">
        <v>637</v>
      </c>
      <c r="B294">
        <v>25</v>
      </c>
      <c r="C294" t="s">
        <v>31</v>
      </c>
      <c r="D294" t="s">
        <v>89</v>
      </c>
      <c r="E294" t="s">
        <v>90</v>
      </c>
      <c r="F294" t="s">
        <v>20</v>
      </c>
      <c r="G294" t="s">
        <v>51</v>
      </c>
      <c r="H294" t="s">
        <v>638</v>
      </c>
      <c r="I294">
        <v>1</v>
      </c>
      <c r="J294">
        <v>0</v>
      </c>
      <c r="K294">
        <v>10400</v>
      </c>
      <c r="L294">
        <v>2</v>
      </c>
      <c r="M294">
        <v>3</v>
      </c>
      <c r="N294" t="s">
        <v>41</v>
      </c>
      <c r="O294" t="s">
        <v>24</v>
      </c>
      <c r="P294" t="s">
        <v>23</v>
      </c>
    </row>
    <row r="295" spans="1:16" x14ac:dyDescent="0.2">
      <c r="A295" t="s">
        <v>639</v>
      </c>
      <c r="B295">
        <v>42</v>
      </c>
      <c r="C295" t="s">
        <v>17</v>
      </c>
      <c r="D295" t="s">
        <v>26</v>
      </c>
      <c r="E295" t="s">
        <v>27</v>
      </c>
      <c r="F295" t="s">
        <v>20</v>
      </c>
      <c r="G295" t="s">
        <v>51</v>
      </c>
      <c r="H295" t="s">
        <v>640</v>
      </c>
      <c r="I295">
        <v>7.8</v>
      </c>
      <c r="J295">
        <v>19</v>
      </c>
      <c r="K295">
        <v>18900</v>
      </c>
      <c r="L295">
        <v>5</v>
      </c>
      <c r="M295">
        <v>4</v>
      </c>
      <c r="N295" t="s">
        <v>23</v>
      </c>
      <c r="O295" t="s">
        <v>36</v>
      </c>
      <c r="P295" t="s">
        <v>23</v>
      </c>
    </row>
    <row r="296" spans="1:16" x14ac:dyDescent="0.2">
      <c r="A296" t="s">
        <v>641</v>
      </c>
      <c r="B296">
        <v>60</v>
      </c>
      <c r="C296" t="s">
        <v>48</v>
      </c>
      <c r="D296" t="s">
        <v>38</v>
      </c>
      <c r="E296" t="s">
        <v>76</v>
      </c>
      <c r="F296" t="s">
        <v>20</v>
      </c>
      <c r="G296" t="s">
        <v>56</v>
      </c>
      <c r="H296" t="s">
        <v>642</v>
      </c>
      <c r="I296">
        <v>5.2</v>
      </c>
      <c r="J296">
        <v>35</v>
      </c>
      <c r="K296">
        <v>22400</v>
      </c>
      <c r="L296">
        <v>5</v>
      </c>
      <c r="M296">
        <v>3</v>
      </c>
      <c r="N296" t="s">
        <v>23</v>
      </c>
      <c r="O296" t="s">
        <v>24</v>
      </c>
      <c r="P296" t="s">
        <v>23</v>
      </c>
    </row>
    <row r="297" spans="1:16" x14ac:dyDescent="0.2">
      <c r="A297" t="s">
        <v>643</v>
      </c>
      <c r="B297">
        <v>52</v>
      </c>
      <c r="C297" t="s">
        <v>17</v>
      </c>
      <c r="D297" t="s">
        <v>32</v>
      </c>
      <c r="E297" t="s">
        <v>149</v>
      </c>
      <c r="F297" t="s">
        <v>34</v>
      </c>
      <c r="G297" t="s">
        <v>21</v>
      </c>
      <c r="H297" t="s">
        <v>644</v>
      </c>
      <c r="I297">
        <v>6.3</v>
      </c>
      <c r="J297">
        <v>31</v>
      </c>
      <c r="K297">
        <v>25000</v>
      </c>
      <c r="L297">
        <v>2</v>
      </c>
      <c r="M297">
        <v>3</v>
      </c>
      <c r="N297" t="s">
        <v>23</v>
      </c>
      <c r="O297" t="s">
        <v>24</v>
      </c>
      <c r="P297" t="s">
        <v>23</v>
      </c>
    </row>
    <row r="298" spans="1:16" x14ac:dyDescent="0.2">
      <c r="A298" t="s">
        <v>645</v>
      </c>
      <c r="B298">
        <v>48</v>
      </c>
      <c r="C298" t="s">
        <v>17</v>
      </c>
      <c r="D298" t="s">
        <v>26</v>
      </c>
      <c r="E298" t="s">
        <v>27</v>
      </c>
      <c r="F298" t="s">
        <v>34</v>
      </c>
      <c r="G298" t="s">
        <v>45</v>
      </c>
      <c r="H298" t="s">
        <v>646</v>
      </c>
      <c r="I298">
        <v>2.2000000000000002</v>
      </c>
      <c r="J298">
        <v>21</v>
      </c>
      <c r="K298">
        <v>20500</v>
      </c>
      <c r="L298">
        <v>4</v>
      </c>
      <c r="M298">
        <v>5</v>
      </c>
      <c r="N298" t="s">
        <v>23</v>
      </c>
      <c r="O298" t="s">
        <v>24</v>
      </c>
      <c r="P298" t="s">
        <v>23</v>
      </c>
    </row>
    <row r="299" spans="1:16" x14ac:dyDescent="0.2">
      <c r="A299" t="s">
        <v>647</v>
      </c>
      <c r="B299">
        <v>42</v>
      </c>
      <c r="C299" t="s">
        <v>31</v>
      </c>
      <c r="D299" t="s">
        <v>54</v>
      </c>
      <c r="E299" t="s">
        <v>134</v>
      </c>
      <c r="F299" t="s">
        <v>50</v>
      </c>
      <c r="G299" t="s">
        <v>28</v>
      </c>
      <c r="H299" t="s">
        <v>648</v>
      </c>
      <c r="I299">
        <v>1.9</v>
      </c>
      <c r="J299">
        <v>21</v>
      </c>
      <c r="K299">
        <v>17400</v>
      </c>
      <c r="L299">
        <v>2</v>
      </c>
      <c r="M299">
        <v>3</v>
      </c>
      <c r="N299" t="s">
        <v>41</v>
      </c>
      <c r="O299" t="s">
        <v>36</v>
      </c>
      <c r="P299" t="s">
        <v>23</v>
      </c>
    </row>
    <row r="300" spans="1:16" x14ac:dyDescent="0.2">
      <c r="A300" t="s">
        <v>649</v>
      </c>
      <c r="B300">
        <v>48</v>
      </c>
      <c r="C300" t="s">
        <v>17</v>
      </c>
      <c r="D300" t="s">
        <v>18</v>
      </c>
      <c r="E300" t="s">
        <v>160</v>
      </c>
      <c r="F300" t="s">
        <v>34</v>
      </c>
      <c r="G300" t="s">
        <v>21</v>
      </c>
      <c r="H300" t="s">
        <v>650</v>
      </c>
      <c r="I300">
        <v>0.4</v>
      </c>
      <c r="J300">
        <v>25</v>
      </c>
      <c r="K300">
        <v>21800</v>
      </c>
      <c r="L300">
        <v>2</v>
      </c>
      <c r="M300">
        <v>1</v>
      </c>
      <c r="N300" t="s">
        <v>23</v>
      </c>
      <c r="O300" t="s">
        <v>24</v>
      </c>
      <c r="P300" t="s">
        <v>23</v>
      </c>
    </row>
    <row r="301" spans="1:16" x14ac:dyDescent="0.2">
      <c r="A301" t="s">
        <v>651</v>
      </c>
      <c r="B301">
        <v>39</v>
      </c>
      <c r="C301" t="s">
        <v>43</v>
      </c>
      <c r="D301" t="s">
        <v>32</v>
      </c>
      <c r="E301" t="s">
        <v>139</v>
      </c>
      <c r="F301" t="s">
        <v>34</v>
      </c>
      <c r="G301" t="s">
        <v>45</v>
      </c>
      <c r="H301" t="s">
        <v>652</v>
      </c>
      <c r="I301">
        <v>6.5</v>
      </c>
      <c r="J301">
        <v>12</v>
      </c>
      <c r="K301">
        <v>9300</v>
      </c>
      <c r="L301">
        <v>3</v>
      </c>
      <c r="M301">
        <v>5</v>
      </c>
      <c r="N301" t="s">
        <v>23</v>
      </c>
      <c r="O301" t="s">
        <v>36</v>
      </c>
      <c r="P301" t="s">
        <v>41</v>
      </c>
    </row>
    <row r="302" spans="1:16" x14ac:dyDescent="0.2">
      <c r="A302" t="s">
        <v>653</v>
      </c>
      <c r="B302">
        <v>55</v>
      </c>
      <c r="C302" t="s">
        <v>17</v>
      </c>
      <c r="D302" t="s">
        <v>26</v>
      </c>
      <c r="E302" t="s">
        <v>49</v>
      </c>
      <c r="F302" t="s">
        <v>34</v>
      </c>
      <c r="G302" t="s">
        <v>56</v>
      </c>
      <c r="H302" t="s">
        <v>654</v>
      </c>
      <c r="I302">
        <v>13.6</v>
      </c>
      <c r="J302">
        <v>32</v>
      </c>
      <c r="K302">
        <v>21500</v>
      </c>
      <c r="L302">
        <v>4</v>
      </c>
      <c r="M302">
        <v>5</v>
      </c>
      <c r="N302" t="s">
        <v>23</v>
      </c>
      <c r="O302" t="s">
        <v>36</v>
      </c>
      <c r="P302" t="s">
        <v>23</v>
      </c>
    </row>
    <row r="303" spans="1:16" x14ac:dyDescent="0.2">
      <c r="A303" t="s">
        <v>655</v>
      </c>
      <c r="B303">
        <v>23</v>
      </c>
      <c r="C303" t="s">
        <v>31</v>
      </c>
      <c r="D303" t="s">
        <v>26</v>
      </c>
      <c r="E303" t="s">
        <v>67</v>
      </c>
      <c r="F303" t="s">
        <v>34</v>
      </c>
      <c r="G303" t="s">
        <v>56</v>
      </c>
      <c r="H303" t="s">
        <v>656</v>
      </c>
      <c r="I303">
        <v>2.2000000000000002</v>
      </c>
      <c r="J303">
        <v>2</v>
      </c>
      <c r="K303">
        <v>8400</v>
      </c>
      <c r="L303">
        <v>5</v>
      </c>
      <c r="M303">
        <v>3</v>
      </c>
      <c r="N303" t="s">
        <v>23</v>
      </c>
      <c r="O303" t="s">
        <v>80</v>
      </c>
      <c r="P303" t="s">
        <v>23</v>
      </c>
    </row>
    <row r="304" spans="1:16" x14ac:dyDescent="0.2">
      <c r="A304" t="s">
        <v>657</v>
      </c>
      <c r="B304">
        <v>32</v>
      </c>
      <c r="C304" t="s">
        <v>31</v>
      </c>
      <c r="D304" t="s">
        <v>26</v>
      </c>
      <c r="E304" t="s">
        <v>27</v>
      </c>
      <c r="F304" t="s">
        <v>34</v>
      </c>
      <c r="G304" t="s">
        <v>56</v>
      </c>
      <c r="H304" t="s">
        <v>658</v>
      </c>
      <c r="I304">
        <v>5.4</v>
      </c>
      <c r="J304">
        <v>10</v>
      </c>
      <c r="K304">
        <v>16800</v>
      </c>
      <c r="L304">
        <v>2</v>
      </c>
      <c r="M304">
        <v>4</v>
      </c>
      <c r="N304" t="s">
        <v>23</v>
      </c>
      <c r="O304" t="s">
        <v>36</v>
      </c>
      <c r="P304" t="s">
        <v>23</v>
      </c>
    </row>
    <row r="305" spans="1:16" x14ac:dyDescent="0.2">
      <c r="A305" t="s">
        <v>659</v>
      </c>
      <c r="B305">
        <v>25</v>
      </c>
      <c r="C305" t="s">
        <v>17</v>
      </c>
      <c r="D305" t="s">
        <v>54</v>
      </c>
      <c r="E305" t="s">
        <v>64</v>
      </c>
      <c r="F305" t="s">
        <v>20</v>
      </c>
      <c r="G305" t="s">
        <v>51</v>
      </c>
      <c r="H305" t="s">
        <v>660</v>
      </c>
      <c r="I305">
        <v>0.6</v>
      </c>
      <c r="J305">
        <v>2</v>
      </c>
      <c r="K305">
        <v>11000</v>
      </c>
      <c r="L305">
        <v>3</v>
      </c>
      <c r="M305">
        <v>3</v>
      </c>
      <c r="N305" t="s">
        <v>41</v>
      </c>
      <c r="O305" t="s">
        <v>36</v>
      </c>
      <c r="P305" t="s">
        <v>41</v>
      </c>
    </row>
    <row r="306" spans="1:16" x14ac:dyDescent="0.2">
      <c r="A306" t="s">
        <v>661</v>
      </c>
      <c r="B306">
        <v>42</v>
      </c>
      <c r="C306" t="s">
        <v>48</v>
      </c>
      <c r="D306" t="s">
        <v>38</v>
      </c>
      <c r="E306" t="s">
        <v>59</v>
      </c>
      <c r="F306" t="s">
        <v>20</v>
      </c>
      <c r="G306" t="s">
        <v>45</v>
      </c>
      <c r="H306" t="s">
        <v>662</v>
      </c>
      <c r="I306">
        <v>14.1</v>
      </c>
      <c r="J306">
        <v>17</v>
      </c>
      <c r="K306">
        <v>26800</v>
      </c>
      <c r="L306">
        <v>2</v>
      </c>
      <c r="M306">
        <v>4</v>
      </c>
      <c r="N306" t="s">
        <v>23</v>
      </c>
      <c r="O306" t="s">
        <v>80</v>
      </c>
      <c r="P306" t="s">
        <v>23</v>
      </c>
    </row>
    <row r="307" spans="1:16" x14ac:dyDescent="0.2">
      <c r="A307" t="s">
        <v>663</v>
      </c>
      <c r="B307">
        <v>38</v>
      </c>
      <c r="C307" t="s">
        <v>17</v>
      </c>
      <c r="D307" t="s">
        <v>18</v>
      </c>
      <c r="E307" t="s">
        <v>160</v>
      </c>
      <c r="F307" t="s">
        <v>20</v>
      </c>
      <c r="G307" t="s">
        <v>56</v>
      </c>
      <c r="H307" t="s">
        <v>664</v>
      </c>
      <c r="I307">
        <v>7.8</v>
      </c>
      <c r="J307">
        <v>11</v>
      </c>
      <c r="K307">
        <v>19300</v>
      </c>
      <c r="L307">
        <v>4</v>
      </c>
      <c r="M307">
        <v>5</v>
      </c>
      <c r="N307" t="s">
        <v>23</v>
      </c>
      <c r="O307" t="s">
        <v>24</v>
      </c>
      <c r="P307" t="s">
        <v>23</v>
      </c>
    </row>
    <row r="308" spans="1:16" x14ac:dyDescent="0.2">
      <c r="A308" t="s">
        <v>665</v>
      </c>
      <c r="B308">
        <v>29</v>
      </c>
      <c r="C308" t="s">
        <v>31</v>
      </c>
      <c r="D308" t="s">
        <v>54</v>
      </c>
      <c r="E308" t="s">
        <v>64</v>
      </c>
      <c r="F308" t="s">
        <v>34</v>
      </c>
      <c r="G308" t="s">
        <v>45</v>
      </c>
      <c r="H308" t="s">
        <v>666</v>
      </c>
      <c r="I308">
        <v>1.1000000000000001</v>
      </c>
      <c r="J308">
        <v>4</v>
      </c>
      <c r="K308">
        <v>11500</v>
      </c>
      <c r="L308">
        <v>1</v>
      </c>
      <c r="M308">
        <v>2</v>
      </c>
      <c r="N308" t="s">
        <v>41</v>
      </c>
      <c r="O308" t="s">
        <v>24</v>
      </c>
      <c r="P308" t="s">
        <v>41</v>
      </c>
    </row>
    <row r="309" spans="1:16" x14ac:dyDescent="0.2">
      <c r="A309" t="s">
        <v>667</v>
      </c>
      <c r="B309">
        <v>55</v>
      </c>
      <c r="C309" t="s">
        <v>31</v>
      </c>
      <c r="D309" t="s">
        <v>54</v>
      </c>
      <c r="E309" t="s">
        <v>64</v>
      </c>
      <c r="F309" t="s">
        <v>34</v>
      </c>
      <c r="G309" t="s">
        <v>56</v>
      </c>
      <c r="H309" t="s">
        <v>668</v>
      </c>
      <c r="I309">
        <v>10.1</v>
      </c>
      <c r="J309">
        <v>30</v>
      </c>
      <c r="K309">
        <v>14200</v>
      </c>
      <c r="L309">
        <v>3</v>
      </c>
      <c r="M309">
        <v>3</v>
      </c>
      <c r="N309" t="s">
        <v>23</v>
      </c>
      <c r="O309" t="s">
        <v>36</v>
      </c>
      <c r="P309" t="s">
        <v>23</v>
      </c>
    </row>
    <row r="310" spans="1:16" x14ac:dyDescent="0.2">
      <c r="A310" t="s">
        <v>669</v>
      </c>
      <c r="B310">
        <v>44</v>
      </c>
      <c r="C310" t="s">
        <v>31</v>
      </c>
      <c r="D310" t="s">
        <v>54</v>
      </c>
      <c r="E310" t="s">
        <v>134</v>
      </c>
      <c r="F310" t="s">
        <v>20</v>
      </c>
      <c r="G310" t="s">
        <v>45</v>
      </c>
      <c r="H310" t="s">
        <v>670</v>
      </c>
      <c r="I310">
        <v>0.2</v>
      </c>
      <c r="J310">
        <v>19</v>
      </c>
      <c r="K310">
        <v>17800</v>
      </c>
      <c r="L310">
        <v>4</v>
      </c>
      <c r="M310">
        <v>4</v>
      </c>
      <c r="N310" t="s">
        <v>23</v>
      </c>
      <c r="O310" t="s">
        <v>24</v>
      </c>
      <c r="P310" t="s">
        <v>23</v>
      </c>
    </row>
    <row r="311" spans="1:16" x14ac:dyDescent="0.2">
      <c r="A311" t="s">
        <v>671</v>
      </c>
      <c r="B311">
        <v>51</v>
      </c>
      <c r="C311" t="s">
        <v>48</v>
      </c>
      <c r="D311" t="s">
        <v>89</v>
      </c>
      <c r="E311" t="s">
        <v>142</v>
      </c>
      <c r="F311" t="s">
        <v>50</v>
      </c>
      <c r="G311" t="s">
        <v>28</v>
      </c>
      <c r="H311" t="s">
        <v>672</v>
      </c>
      <c r="I311">
        <v>0.9</v>
      </c>
      <c r="J311">
        <v>28</v>
      </c>
      <c r="K311">
        <v>15300</v>
      </c>
      <c r="L311">
        <v>3</v>
      </c>
      <c r="M311">
        <v>3</v>
      </c>
      <c r="N311" t="s">
        <v>41</v>
      </c>
      <c r="O311" t="s">
        <v>36</v>
      </c>
      <c r="P311" t="s">
        <v>23</v>
      </c>
    </row>
    <row r="312" spans="1:16" x14ac:dyDescent="0.2">
      <c r="A312" t="s">
        <v>673</v>
      </c>
      <c r="B312">
        <v>23</v>
      </c>
      <c r="C312" t="s">
        <v>31</v>
      </c>
      <c r="D312" t="s">
        <v>38</v>
      </c>
      <c r="E312" t="s">
        <v>39</v>
      </c>
      <c r="F312" t="s">
        <v>34</v>
      </c>
      <c r="G312" t="s">
        <v>28</v>
      </c>
      <c r="H312" t="s">
        <v>674</v>
      </c>
      <c r="I312">
        <v>0.5</v>
      </c>
      <c r="J312">
        <v>0</v>
      </c>
      <c r="K312">
        <v>10900</v>
      </c>
      <c r="L312">
        <v>4</v>
      </c>
      <c r="M312">
        <v>3</v>
      </c>
      <c r="N312" t="s">
        <v>23</v>
      </c>
      <c r="O312" t="s">
        <v>36</v>
      </c>
      <c r="P312" t="s">
        <v>23</v>
      </c>
    </row>
    <row r="313" spans="1:16" x14ac:dyDescent="0.2">
      <c r="A313" t="s">
        <v>675</v>
      </c>
      <c r="B313">
        <v>54</v>
      </c>
      <c r="C313" t="s">
        <v>17</v>
      </c>
      <c r="D313" t="s">
        <v>32</v>
      </c>
      <c r="E313" t="s">
        <v>139</v>
      </c>
      <c r="F313" t="s">
        <v>34</v>
      </c>
      <c r="G313" t="s">
        <v>45</v>
      </c>
      <c r="H313" t="s">
        <v>676</v>
      </c>
      <c r="I313">
        <v>8.1</v>
      </c>
      <c r="J313">
        <v>31</v>
      </c>
      <c r="K313">
        <v>13300</v>
      </c>
      <c r="L313">
        <v>3</v>
      </c>
      <c r="M313">
        <v>3</v>
      </c>
      <c r="N313" t="s">
        <v>23</v>
      </c>
      <c r="O313" t="s">
        <v>24</v>
      </c>
      <c r="P313" t="s">
        <v>23</v>
      </c>
    </row>
    <row r="314" spans="1:16" x14ac:dyDescent="0.2">
      <c r="A314" t="s">
        <v>677</v>
      </c>
      <c r="B314">
        <v>35</v>
      </c>
      <c r="C314" t="s">
        <v>43</v>
      </c>
      <c r="D314" t="s">
        <v>38</v>
      </c>
      <c r="E314" t="s">
        <v>76</v>
      </c>
      <c r="F314" t="s">
        <v>50</v>
      </c>
      <c r="G314" t="s">
        <v>51</v>
      </c>
      <c r="H314" t="s">
        <v>678</v>
      </c>
      <c r="I314">
        <v>11</v>
      </c>
      <c r="J314">
        <v>14</v>
      </c>
      <c r="K314">
        <v>17000</v>
      </c>
      <c r="L314">
        <v>2</v>
      </c>
      <c r="M314">
        <v>3</v>
      </c>
      <c r="N314" t="s">
        <v>23</v>
      </c>
      <c r="O314" t="s">
        <v>36</v>
      </c>
      <c r="P314" t="s">
        <v>41</v>
      </c>
    </row>
    <row r="315" spans="1:16" x14ac:dyDescent="0.2">
      <c r="A315" t="s">
        <v>679</v>
      </c>
      <c r="B315">
        <v>51</v>
      </c>
      <c r="C315" t="s">
        <v>43</v>
      </c>
      <c r="D315" t="s">
        <v>18</v>
      </c>
      <c r="E315" t="s">
        <v>19</v>
      </c>
      <c r="F315" t="s">
        <v>20</v>
      </c>
      <c r="G315" t="s">
        <v>56</v>
      </c>
      <c r="H315" t="s">
        <v>680</v>
      </c>
      <c r="I315">
        <v>10.199999999999999</v>
      </c>
      <c r="J315">
        <v>25</v>
      </c>
      <c r="K315">
        <v>11200</v>
      </c>
      <c r="L315">
        <v>4</v>
      </c>
      <c r="M315">
        <v>4</v>
      </c>
      <c r="N315" t="s">
        <v>23</v>
      </c>
      <c r="O315" t="s">
        <v>24</v>
      </c>
      <c r="P315" t="s">
        <v>23</v>
      </c>
    </row>
    <row r="316" spans="1:16" x14ac:dyDescent="0.2">
      <c r="A316" t="s">
        <v>681</v>
      </c>
      <c r="B316">
        <v>24</v>
      </c>
      <c r="C316" t="s">
        <v>48</v>
      </c>
      <c r="D316" t="s">
        <v>54</v>
      </c>
      <c r="E316" t="s">
        <v>55</v>
      </c>
      <c r="F316" t="s">
        <v>20</v>
      </c>
      <c r="G316" t="s">
        <v>45</v>
      </c>
      <c r="H316" t="s">
        <v>682</v>
      </c>
      <c r="I316">
        <v>1.4</v>
      </c>
      <c r="J316">
        <v>2</v>
      </c>
      <c r="K316">
        <v>7700</v>
      </c>
      <c r="L316">
        <v>3</v>
      </c>
      <c r="M316">
        <v>3</v>
      </c>
      <c r="N316" t="s">
        <v>23</v>
      </c>
      <c r="O316" t="s">
        <v>36</v>
      </c>
      <c r="P316" t="s">
        <v>23</v>
      </c>
    </row>
    <row r="317" spans="1:16" x14ac:dyDescent="0.2">
      <c r="A317" t="s">
        <v>683</v>
      </c>
      <c r="B317">
        <v>51</v>
      </c>
      <c r="C317" t="s">
        <v>48</v>
      </c>
      <c r="D317" t="s">
        <v>38</v>
      </c>
      <c r="E317" t="s">
        <v>59</v>
      </c>
      <c r="F317" t="s">
        <v>20</v>
      </c>
      <c r="G317" t="s">
        <v>51</v>
      </c>
      <c r="H317" t="s">
        <v>684</v>
      </c>
      <c r="I317">
        <v>4.8</v>
      </c>
      <c r="J317">
        <v>29</v>
      </c>
      <c r="K317">
        <v>28200</v>
      </c>
      <c r="L317">
        <v>4</v>
      </c>
      <c r="M317">
        <v>4</v>
      </c>
      <c r="N317" t="s">
        <v>23</v>
      </c>
      <c r="O317" t="s">
        <v>24</v>
      </c>
      <c r="P317" t="s">
        <v>23</v>
      </c>
    </row>
    <row r="318" spans="1:16" x14ac:dyDescent="0.2">
      <c r="A318" t="s">
        <v>685</v>
      </c>
      <c r="B318">
        <v>35</v>
      </c>
      <c r="C318" t="s">
        <v>17</v>
      </c>
      <c r="D318" t="s">
        <v>38</v>
      </c>
      <c r="E318" t="s">
        <v>39</v>
      </c>
      <c r="F318" t="s">
        <v>20</v>
      </c>
      <c r="G318" t="s">
        <v>28</v>
      </c>
      <c r="H318" t="s">
        <v>686</v>
      </c>
      <c r="I318">
        <v>8.1999999999999993</v>
      </c>
      <c r="J318">
        <v>11</v>
      </c>
      <c r="K318">
        <v>11200</v>
      </c>
      <c r="L318">
        <v>1</v>
      </c>
      <c r="M318">
        <v>4</v>
      </c>
      <c r="N318" t="s">
        <v>23</v>
      </c>
      <c r="O318" t="s">
        <v>36</v>
      </c>
      <c r="P318" t="s">
        <v>23</v>
      </c>
    </row>
    <row r="319" spans="1:16" x14ac:dyDescent="0.2">
      <c r="A319" t="s">
        <v>687</v>
      </c>
      <c r="B319">
        <v>55</v>
      </c>
      <c r="C319" t="s">
        <v>31</v>
      </c>
      <c r="D319" t="s">
        <v>89</v>
      </c>
      <c r="E319" t="s">
        <v>93</v>
      </c>
      <c r="F319" t="s">
        <v>34</v>
      </c>
      <c r="G319" t="s">
        <v>28</v>
      </c>
      <c r="H319" t="s">
        <v>688</v>
      </c>
      <c r="I319">
        <v>2.6</v>
      </c>
      <c r="J319">
        <v>30</v>
      </c>
      <c r="K319">
        <v>12700</v>
      </c>
      <c r="L319">
        <v>4</v>
      </c>
      <c r="M319">
        <v>5</v>
      </c>
      <c r="N319" t="s">
        <v>23</v>
      </c>
      <c r="O319" t="s">
        <v>24</v>
      </c>
      <c r="P319" t="s">
        <v>23</v>
      </c>
    </row>
    <row r="320" spans="1:16" x14ac:dyDescent="0.2">
      <c r="A320" t="s">
        <v>689</v>
      </c>
      <c r="B320">
        <v>54</v>
      </c>
      <c r="C320" t="s">
        <v>17</v>
      </c>
      <c r="D320" t="s">
        <v>32</v>
      </c>
      <c r="E320" t="s">
        <v>139</v>
      </c>
      <c r="F320" t="s">
        <v>50</v>
      </c>
      <c r="G320" t="s">
        <v>45</v>
      </c>
      <c r="H320" t="s">
        <v>690</v>
      </c>
      <c r="I320">
        <v>4.9000000000000004</v>
      </c>
      <c r="J320">
        <v>30</v>
      </c>
      <c r="K320">
        <v>14200</v>
      </c>
      <c r="L320">
        <v>4</v>
      </c>
      <c r="M320">
        <v>3</v>
      </c>
      <c r="N320" t="s">
        <v>23</v>
      </c>
      <c r="O320" t="s">
        <v>36</v>
      </c>
      <c r="P320" t="s">
        <v>23</v>
      </c>
    </row>
    <row r="321" spans="1:16" x14ac:dyDescent="0.2">
      <c r="A321" t="s">
        <v>691</v>
      </c>
      <c r="B321">
        <v>35</v>
      </c>
      <c r="C321" t="s">
        <v>17</v>
      </c>
      <c r="D321" t="s">
        <v>32</v>
      </c>
      <c r="E321" t="s">
        <v>149</v>
      </c>
      <c r="F321" t="s">
        <v>34</v>
      </c>
      <c r="G321" t="s">
        <v>21</v>
      </c>
      <c r="H321" t="s">
        <v>692</v>
      </c>
      <c r="I321">
        <v>0.9</v>
      </c>
      <c r="J321">
        <v>8</v>
      </c>
      <c r="K321">
        <v>20700</v>
      </c>
      <c r="L321">
        <v>5</v>
      </c>
      <c r="M321">
        <v>3</v>
      </c>
      <c r="N321" t="s">
        <v>41</v>
      </c>
      <c r="O321" t="s">
        <v>36</v>
      </c>
      <c r="P321" t="s">
        <v>23</v>
      </c>
    </row>
    <row r="322" spans="1:16" x14ac:dyDescent="0.2">
      <c r="A322" t="s">
        <v>693</v>
      </c>
      <c r="B322">
        <v>41</v>
      </c>
      <c r="C322" t="s">
        <v>48</v>
      </c>
      <c r="D322" t="s">
        <v>38</v>
      </c>
      <c r="E322" t="s">
        <v>76</v>
      </c>
      <c r="F322" t="s">
        <v>34</v>
      </c>
      <c r="G322" t="s">
        <v>28</v>
      </c>
      <c r="H322" t="s">
        <v>694</v>
      </c>
      <c r="I322">
        <v>7.8</v>
      </c>
      <c r="J322">
        <v>17</v>
      </c>
      <c r="K322">
        <v>17000</v>
      </c>
      <c r="L322">
        <v>3</v>
      </c>
      <c r="M322">
        <v>4</v>
      </c>
      <c r="N322" t="s">
        <v>41</v>
      </c>
      <c r="O322" t="s">
        <v>24</v>
      </c>
      <c r="P322" t="s">
        <v>23</v>
      </c>
    </row>
    <row r="323" spans="1:16" x14ac:dyDescent="0.2">
      <c r="A323" t="s">
        <v>695</v>
      </c>
      <c r="B323">
        <v>56</v>
      </c>
      <c r="C323" t="s">
        <v>31</v>
      </c>
      <c r="D323" t="s">
        <v>26</v>
      </c>
      <c r="E323" t="s">
        <v>49</v>
      </c>
      <c r="F323" t="s">
        <v>34</v>
      </c>
      <c r="G323" t="s">
        <v>45</v>
      </c>
      <c r="H323" t="s">
        <v>696</v>
      </c>
      <c r="I323">
        <v>11.9</v>
      </c>
      <c r="J323">
        <v>29</v>
      </c>
      <c r="K323">
        <v>20500</v>
      </c>
      <c r="L323">
        <v>3</v>
      </c>
      <c r="M323">
        <v>4</v>
      </c>
      <c r="N323" t="s">
        <v>41</v>
      </c>
      <c r="O323" t="s">
        <v>24</v>
      </c>
      <c r="P323" t="s">
        <v>23</v>
      </c>
    </row>
    <row r="324" spans="1:16" x14ac:dyDescent="0.2">
      <c r="A324" t="s">
        <v>697</v>
      </c>
      <c r="B324">
        <v>35</v>
      </c>
      <c r="C324" t="s">
        <v>17</v>
      </c>
      <c r="D324" t="s">
        <v>18</v>
      </c>
      <c r="E324" t="s">
        <v>19</v>
      </c>
      <c r="F324" t="s">
        <v>20</v>
      </c>
      <c r="G324" t="s">
        <v>28</v>
      </c>
      <c r="H324" t="s">
        <v>698</v>
      </c>
      <c r="I324">
        <v>3.5</v>
      </c>
      <c r="J324">
        <v>11</v>
      </c>
      <c r="K324">
        <v>8700</v>
      </c>
      <c r="L324">
        <v>3</v>
      </c>
      <c r="M324">
        <v>4</v>
      </c>
      <c r="N324" t="s">
        <v>23</v>
      </c>
      <c r="O324" t="s">
        <v>36</v>
      </c>
      <c r="P324" t="s">
        <v>23</v>
      </c>
    </row>
    <row r="325" spans="1:16" x14ac:dyDescent="0.2">
      <c r="A325" t="s">
        <v>699</v>
      </c>
      <c r="B325">
        <v>26</v>
      </c>
      <c r="C325" t="s">
        <v>31</v>
      </c>
      <c r="D325" t="s">
        <v>18</v>
      </c>
      <c r="E325" t="s">
        <v>19</v>
      </c>
      <c r="F325" t="s">
        <v>50</v>
      </c>
      <c r="G325" t="s">
        <v>56</v>
      </c>
      <c r="H325" t="s">
        <v>700</v>
      </c>
      <c r="I325">
        <v>0.2</v>
      </c>
      <c r="J325">
        <v>0</v>
      </c>
      <c r="K325">
        <v>8300</v>
      </c>
      <c r="L325">
        <v>3</v>
      </c>
      <c r="M325">
        <v>2</v>
      </c>
      <c r="N325" t="s">
        <v>41</v>
      </c>
      <c r="O325" t="s">
        <v>24</v>
      </c>
      <c r="P325" t="s">
        <v>41</v>
      </c>
    </row>
    <row r="326" spans="1:16" x14ac:dyDescent="0.2">
      <c r="A326" t="s">
        <v>701</v>
      </c>
      <c r="B326">
        <v>59</v>
      </c>
      <c r="C326" t="s">
        <v>17</v>
      </c>
      <c r="D326" t="s">
        <v>18</v>
      </c>
      <c r="E326" t="s">
        <v>199</v>
      </c>
      <c r="F326" t="s">
        <v>34</v>
      </c>
      <c r="G326" t="s">
        <v>56</v>
      </c>
      <c r="H326" t="s">
        <v>702</v>
      </c>
      <c r="I326">
        <v>3.8</v>
      </c>
      <c r="J326">
        <v>38</v>
      </c>
      <c r="K326">
        <v>17800</v>
      </c>
      <c r="L326">
        <v>3</v>
      </c>
      <c r="M326">
        <v>3</v>
      </c>
      <c r="N326" t="s">
        <v>23</v>
      </c>
      <c r="O326" t="s">
        <v>36</v>
      </c>
      <c r="P326" t="s">
        <v>23</v>
      </c>
    </row>
    <row r="327" spans="1:16" x14ac:dyDescent="0.2">
      <c r="A327" t="s">
        <v>703</v>
      </c>
      <c r="B327">
        <v>60</v>
      </c>
      <c r="C327" t="s">
        <v>48</v>
      </c>
      <c r="D327" t="s">
        <v>89</v>
      </c>
      <c r="E327" t="s">
        <v>142</v>
      </c>
      <c r="F327" t="s">
        <v>34</v>
      </c>
      <c r="G327" t="s">
        <v>28</v>
      </c>
      <c r="H327" t="s">
        <v>704</v>
      </c>
      <c r="I327">
        <v>14.4</v>
      </c>
      <c r="J327">
        <v>38</v>
      </c>
      <c r="K327">
        <v>16500</v>
      </c>
      <c r="L327">
        <v>3</v>
      </c>
      <c r="M327">
        <v>1</v>
      </c>
      <c r="N327" t="s">
        <v>41</v>
      </c>
      <c r="O327" t="s">
        <v>80</v>
      </c>
      <c r="P327" t="s">
        <v>23</v>
      </c>
    </row>
    <row r="328" spans="1:16" x14ac:dyDescent="0.2">
      <c r="A328" t="s">
        <v>705</v>
      </c>
      <c r="B328">
        <v>54</v>
      </c>
      <c r="C328" t="s">
        <v>48</v>
      </c>
      <c r="D328" t="s">
        <v>38</v>
      </c>
      <c r="E328" t="s">
        <v>76</v>
      </c>
      <c r="F328" t="s">
        <v>20</v>
      </c>
      <c r="G328" t="s">
        <v>56</v>
      </c>
      <c r="H328" t="s">
        <v>706</v>
      </c>
      <c r="I328">
        <v>1.5</v>
      </c>
      <c r="J328">
        <v>33</v>
      </c>
      <c r="K328">
        <v>19600</v>
      </c>
      <c r="L328">
        <v>3</v>
      </c>
      <c r="M328">
        <v>4</v>
      </c>
      <c r="N328" t="s">
        <v>23</v>
      </c>
      <c r="O328" t="s">
        <v>36</v>
      </c>
      <c r="P328" t="s">
        <v>23</v>
      </c>
    </row>
    <row r="329" spans="1:16" x14ac:dyDescent="0.2">
      <c r="A329" t="s">
        <v>707</v>
      </c>
      <c r="B329">
        <v>46</v>
      </c>
      <c r="C329" t="s">
        <v>48</v>
      </c>
      <c r="D329" t="s">
        <v>26</v>
      </c>
      <c r="E329" t="s">
        <v>49</v>
      </c>
      <c r="F329" t="s">
        <v>34</v>
      </c>
      <c r="G329" t="s">
        <v>56</v>
      </c>
      <c r="H329" t="s">
        <v>708</v>
      </c>
      <c r="I329">
        <v>0.2</v>
      </c>
      <c r="J329">
        <v>21</v>
      </c>
      <c r="K329">
        <v>19000</v>
      </c>
      <c r="L329">
        <v>3</v>
      </c>
      <c r="M329">
        <v>2</v>
      </c>
      <c r="N329" t="s">
        <v>41</v>
      </c>
      <c r="O329" t="s">
        <v>24</v>
      </c>
      <c r="P329" t="s">
        <v>23</v>
      </c>
    </row>
    <row r="330" spans="1:16" x14ac:dyDescent="0.2">
      <c r="A330" t="s">
        <v>709</v>
      </c>
      <c r="B330">
        <v>45</v>
      </c>
      <c r="C330" t="s">
        <v>17</v>
      </c>
      <c r="D330" t="s">
        <v>32</v>
      </c>
      <c r="E330" t="s">
        <v>149</v>
      </c>
      <c r="F330" t="s">
        <v>50</v>
      </c>
      <c r="G330" t="s">
        <v>21</v>
      </c>
      <c r="H330" t="s">
        <v>710</v>
      </c>
      <c r="I330">
        <v>10.3</v>
      </c>
      <c r="J330">
        <v>20</v>
      </c>
      <c r="K330">
        <v>21400</v>
      </c>
      <c r="L330">
        <v>4</v>
      </c>
      <c r="M330">
        <v>5</v>
      </c>
      <c r="N330" t="s">
        <v>23</v>
      </c>
      <c r="O330" t="s">
        <v>24</v>
      </c>
      <c r="P330" t="s">
        <v>23</v>
      </c>
    </row>
    <row r="331" spans="1:16" x14ac:dyDescent="0.2">
      <c r="A331" t="s">
        <v>711</v>
      </c>
      <c r="B331">
        <v>45</v>
      </c>
      <c r="C331" t="s">
        <v>48</v>
      </c>
      <c r="D331" t="s">
        <v>32</v>
      </c>
      <c r="E331" t="s">
        <v>139</v>
      </c>
      <c r="F331" t="s">
        <v>20</v>
      </c>
      <c r="G331" t="s">
        <v>51</v>
      </c>
      <c r="H331" t="s">
        <v>712</v>
      </c>
      <c r="I331">
        <v>4.8</v>
      </c>
      <c r="J331">
        <v>19</v>
      </c>
      <c r="K331">
        <v>11200</v>
      </c>
      <c r="L331">
        <v>4</v>
      </c>
      <c r="M331">
        <v>3</v>
      </c>
      <c r="N331" t="s">
        <v>23</v>
      </c>
      <c r="O331" t="s">
        <v>24</v>
      </c>
      <c r="P331" t="s">
        <v>23</v>
      </c>
    </row>
    <row r="332" spans="1:16" x14ac:dyDescent="0.2">
      <c r="A332" t="s">
        <v>713</v>
      </c>
      <c r="B332">
        <v>42</v>
      </c>
      <c r="C332" t="s">
        <v>43</v>
      </c>
      <c r="D332" t="s">
        <v>54</v>
      </c>
      <c r="E332" t="s">
        <v>134</v>
      </c>
      <c r="F332" t="s">
        <v>50</v>
      </c>
      <c r="G332" t="s">
        <v>45</v>
      </c>
      <c r="H332" t="s">
        <v>714</v>
      </c>
      <c r="I332">
        <v>11.8</v>
      </c>
      <c r="J332">
        <v>21</v>
      </c>
      <c r="K332">
        <v>17900</v>
      </c>
      <c r="L332">
        <v>3</v>
      </c>
      <c r="M332">
        <v>3</v>
      </c>
      <c r="N332" t="s">
        <v>23</v>
      </c>
      <c r="O332" t="s">
        <v>24</v>
      </c>
      <c r="P332" t="s">
        <v>23</v>
      </c>
    </row>
    <row r="333" spans="1:16" x14ac:dyDescent="0.2">
      <c r="A333" t="s">
        <v>715</v>
      </c>
      <c r="B333">
        <v>37</v>
      </c>
      <c r="C333" t="s">
        <v>31</v>
      </c>
      <c r="D333" t="s">
        <v>26</v>
      </c>
      <c r="E333" t="s">
        <v>27</v>
      </c>
      <c r="F333" t="s">
        <v>34</v>
      </c>
      <c r="G333" t="s">
        <v>21</v>
      </c>
      <c r="H333" t="s">
        <v>398</v>
      </c>
      <c r="I333">
        <v>4.9000000000000004</v>
      </c>
      <c r="J333">
        <v>15</v>
      </c>
      <c r="K333">
        <v>18300</v>
      </c>
      <c r="L333">
        <v>4</v>
      </c>
      <c r="M333">
        <v>3</v>
      </c>
      <c r="N333" t="s">
        <v>23</v>
      </c>
      <c r="O333" t="s">
        <v>24</v>
      </c>
      <c r="P333" t="s">
        <v>23</v>
      </c>
    </row>
    <row r="334" spans="1:16" x14ac:dyDescent="0.2">
      <c r="A334" t="s">
        <v>716</v>
      </c>
      <c r="B334">
        <v>51</v>
      </c>
      <c r="C334" t="s">
        <v>48</v>
      </c>
      <c r="D334" t="s">
        <v>89</v>
      </c>
      <c r="E334" t="s">
        <v>93</v>
      </c>
      <c r="F334" t="s">
        <v>50</v>
      </c>
      <c r="G334" t="s">
        <v>45</v>
      </c>
      <c r="H334" t="s">
        <v>717</v>
      </c>
      <c r="I334">
        <v>13.2</v>
      </c>
      <c r="J334">
        <v>28</v>
      </c>
      <c r="K334">
        <v>12400</v>
      </c>
      <c r="L334">
        <v>5</v>
      </c>
      <c r="M334">
        <v>5</v>
      </c>
      <c r="N334" t="s">
        <v>23</v>
      </c>
      <c r="O334" t="s">
        <v>24</v>
      </c>
      <c r="P334" t="s">
        <v>23</v>
      </c>
    </row>
    <row r="335" spans="1:16" x14ac:dyDescent="0.2">
      <c r="A335" t="s">
        <v>718</v>
      </c>
      <c r="B335">
        <v>24</v>
      </c>
      <c r="C335" t="s">
        <v>17</v>
      </c>
      <c r="D335" t="s">
        <v>89</v>
      </c>
      <c r="E335" t="s">
        <v>142</v>
      </c>
      <c r="F335" t="s">
        <v>34</v>
      </c>
      <c r="G335" t="s">
        <v>56</v>
      </c>
      <c r="H335" t="s">
        <v>719</v>
      </c>
      <c r="I335">
        <v>0.6</v>
      </c>
      <c r="J335">
        <v>0</v>
      </c>
      <c r="K335">
        <v>10400</v>
      </c>
      <c r="L335">
        <v>1</v>
      </c>
      <c r="M335">
        <v>3</v>
      </c>
      <c r="N335" t="s">
        <v>23</v>
      </c>
      <c r="O335" t="s">
        <v>36</v>
      </c>
      <c r="P335" t="s">
        <v>23</v>
      </c>
    </row>
    <row r="336" spans="1:16" x14ac:dyDescent="0.2">
      <c r="A336" t="s">
        <v>720</v>
      </c>
      <c r="B336">
        <v>21</v>
      </c>
      <c r="C336" t="s">
        <v>43</v>
      </c>
      <c r="D336" t="s">
        <v>38</v>
      </c>
      <c r="E336" t="s">
        <v>44</v>
      </c>
      <c r="F336" t="s">
        <v>50</v>
      </c>
      <c r="G336" t="s">
        <v>28</v>
      </c>
      <c r="H336" t="s">
        <v>721</v>
      </c>
      <c r="I336">
        <v>0.9</v>
      </c>
      <c r="J336">
        <v>0</v>
      </c>
      <c r="K336">
        <v>14900</v>
      </c>
      <c r="L336">
        <v>4</v>
      </c>
      <c r="M336">
        <v>3</v>
      </c>
      <c r="N336" t="s">
        <v>23</v>
      </c>
      <c r="O336" t="s">
        <v>24</v>
      </c>
      <c r="P336" t="s">
        <v>23</v>
      </c>
    </row>
    <row r="337" spans="1:16" x14ac:dyDescent="0.2">
      <c r="A337" t="s">
        <v>722</v>
      </c>
      <c r="B337">
        <v>44</v>
      </c>
      <c r="C337" t="s">
        <v>43</v>
      </c>
      <c r="D337" t="s">
        <v>89</v>
      </c>
      <c r="E337" t="s">
        <v>90</v>
      </c>
      <c r="F337" t="s">
        <v>34</v>
      </c>
      <c r="G337" t="s">
        <v>45</v>
      </c>
      <c r="H337" t="s">
        <v>723</v>
      </c>
      <c r="I337">
        <v>10.7</v>
      </c>
      <c r="J337">
        <v>22</v>
      </c>
      <c r="K337">
        <v>13000</v>
      </c>
      <c r="L337">
        <v>3</v>
      </c>
      <c r="M337">
        <v>4</v>
      </c>
      <c r="N337" t="s">
        <v>23</v>
      </c>
      <c r="O337" t="s">
        <v>24</v>
      </c>
      <c r="P337" t="s">
        <v>23</v>
      </c>
    </row>
    <row r="338" spans="1:16" x14ac:dyDescent="0.2">
      <c r="A338" t="s">
        <v>724</v>
      </c>
      <c r="B338">
        <v>36</v>
      </c>
      <c r="C338" t="s">
        <v>31</v>
      </c>
      <c r="D338" t="s">
        <v>54</v>
      </c>
      <c r="E338" t="s">
        <v>64</v>
      </c>
      <c r="F338" t="s">
        <v>50</v>
      </c>
      <c r="G338" t="s">
        <v>45</v>
      </c>
      <c r="H338" t="s">
        <v>725</v>
      </c>
      <c r="I338">
        <v>9.1999999999999993</v>
      </c>
      <c r="J338">
        <v>11</v>
      </c>
      <c r="K338">
        <v>11800</v>
      </c>
      <c r="L338">
        <v>2</v>
      </c>
      <c r="M338">
        <v>4</v>
      </c>
      <c r="N338" t="s">
        <v>23</v>
      </c>
      <c r="O338" t="s">
        <v>24</v>
      </c>
      <c r="P338" t="s">
        <v>41</v>
      </c>
    </row>
    <row r="339" spans="1:16" x14ac:dyDescent="0.2">
      <c r="A339" t="s">
        <v>726</v>
      </c>
      <c r="B339">
        <v>52</v>
      </c>
      <c r="C339" t="s">
        <v>17</v>
      </c>
      <c r="D339" t="s">
        <v>18</v>
      </c>
      <c r="E339" t="s">
        <v>199</v>
      </c>
      <c r="F339" t="s">
        <v>50</v>
      </c>
      <c r="G339" t="s">
        <v>51</v>
      </c>
      <c r="H339" t="s">
        <v>727</v>
      </c>
      <c r="I339">
        <v>5.4</v>
      </c>
      <c r="J339">
        <v>29</v>
      </c>
      <c r="K339">
        <v>16500</v>
      </c>
      <c r="L339">
        <v>1</v>
      </c>
      <c r="M339">
        <v>2</v>
      </c>
      <c r="N339" t="s">
        <v>41</v>
      </c>
      <c r="O339" t="s">
        <v>24</v>
      </c>
      <c r="P339" t="s">
        <v>23</v>
      </c>
    </row>
    <row r="340" spans="1:16" x14ac:dyDescent="0.2">
      <c r="A340" t="s">
        <v>728</v>
      </c>
      <c r="B340">
        <v>44</v>
      </c>
      <c r="C340" t="s">
        <v>43</v>
      </c>
      <c r="D340" t="s">
        <v>32</v>
      </c>
      <c r="E340" t="s">
        <v>33</v>
      </c>
      <c r="F340" t="s">
        <v>50</v>
      </c>
      <c r="G340" t="s">
        <v>51</v>
      </c>
      <c r="H340" t="s">
        <v>729</v>
      </c>
      <c r="I340">
        <v>11.9</v>
      </c>
      <c r="J340">
        <v>19</v>
      </c>
      <c r="K340">
        <v>12900</v>
      </c>
      <c r="L340">
        <v>3</v>
      </c>
      <c r="M340">
        <v>3</v>
      </c>
      <c r="N340" t="s">
        <v>23</v>
      </c>
      <c r="O340" t="s">
        <v>36</v>
      </c>
      <c r="P340" t="s">
        <v>23</v>
      </c>
    </row>
    <row r="341" spans="1:16" x14ac:dyDescent="0.2">
      <c r="A341" t="s">
        <v>730</v>
      </c>
      <c r="B341">
        <v>49</v>
      </c>
      <c r="C341" t="s">
        <v>31</v>
      </c>
      <c r="D341" t="s">
        <v>32</v>
      </c>
      <c r="E341" t="s">
        <v>149</v>
      </c>
      <c r="F341" t="s">
        <v>34</v>
      </c>
      <c r="G341" t="s">
        <v>56</v>
      </c>
      <c r="H341" t="s">
        <v>731</v>
      </c>
      <c r="I341">
        <v>8.1999999999999993</v>
      </c>
      <c r="J341">
        <v>28</v>
      </c>
      <c r="K341">
        <v>23000</v>
      </c>
      <c r="L341">
        <v>3</v>
      </c>
      <c r="M341">
        <v>5</v>
      </c>
      <c r="N341" t="s">
        <v>23</v>
      </c>
      <c r="O341" t="s">
        <v>36</v>
      </c>
      <c r="P341" t="s">
        <v>23</v>
      </c>
    </row>
    <row r="342" spans="1:16" x14ac:dyDescent="0.2">
      <c r="A342" t="s">
        <v>732</v>
      </c>
      <c r="B342">
        <v>25</v>
      </c>
      <c r="C342" t="s">
        <v>31</v>
      </c>
      <c r="D342" t="s">
        <v>89</v>
      </c>
      <c r="E342" t="s">
        <v>101</v>
      </c>
      <c r="F342" t="s">
        <v>50</v>
      </c>
      <c r="G342" t="s">
        <v>56</v>
      </c>
      <c r="H342" t="s">
        <v>733</v>
      </c>
      <c r="I342">
        <v>0.9</v>
      </c>
      <c r="J342">
        <v>4</v>
      </c>
      <c r="K342">
        <v>15100</v>
      </c>
      <c r="L342">
        <v>3</v>
      </c>
      <c r="M342">
        <v>4</v>
      </c>
      <c r="N342" t="s">
        <v>23</v>
      </c>
      <c r="O342" t="s">
        <v>36</v>
      </c>
      <c r="P342" t="s">
        <v>23</v>
      </c>
    </row>
    <row r="343" spans="1:16" x14ac:dyDescent="0.2">
      <c r="A343" t="s">
        <v>734</v>
      </c>
      <c r="B343">
        <v>47</v>
      </c>
      <c r="C343" t="s">
        <v>43</v>
      </c>
      <c r="D343" t="s">
        <v>89</v>
      </c>
      <c r="E343" t="s">
        <v>101</v>
      </c>
      <c r="F343" t="s">
        <v>20</v>
      </c>
      <c r="G343" t="s">
        <v>28</v>
      </c>
      <c r="H343" t="s">
        <v>735</v>
      </c>
      <c r="I343">
        <v>4</v>
      </c>
      <c r="J343">
        <v>25</v>
      </c>
      <c r="K343">
        <v>18000</v>
      </c>
      <c r="L343">
        <v>2</v>
      </c>
      <c r="M343">
        <v>3</v>
      </c>
      <c r="N343" t="s">
        <v>41</v>
      </c>
      <c r="O343" t="s">
        <v>36</v>
      </c>
      <c r="P343" t="s">
        <v>23</v>
      </c>
    </row>
    <row r="344" spans="1:16" x14ac:dyDescent="0.2">
      <c r="A344" t="s">
        <v>736</v>
      </c>
      <c r="B344">
        <v>25</v>
      </c>
      <c r="C344" t="s">
        <v>17</v>
      </c>
      <c r="D344" t="s">
        <v>54</v>
      </c>
      <c r="E344" t="s">
        <v>82</v>
      </c>
      <c r="F344" t="s">
        <v>34</v>
      </c>
      <c r="G344" t="s">
        <v>28</v>
      </c>
      <c r="H344" t="s">
        <v>737</v>
      </c>
      <c r="I344">
        <v>1.5</v>
      </c>
      <c r="J344">
        <v>1</v>
      </c>
      <c r="K344">
        <v>5600</v>
      </c>
      <c r="L344">
        <v>4</v>
      </c>
      <c r="M344">
        <v>4</v>
      </c>
      <c r="N344" t="s">
        <v>23</v>
      </c>
      <c r="O344" t="s">
        <v>24</v>
      </c>
      <c r="P344" t="s">
        <v>23</v>
      </c>
    </row>
    <row r="345" spans="1:16" x14ac:dyDescent="0.2">
      <c r="A345" t="s">
        <v>738</v>
      </c>
      <c r="B345">
        <v>36</v>
      </c>
      <c r="C345" t="s">
        <v>48</v>
      </c>
      <c r="D345" t="s">
        <v>32</v>
      </c>
      <c r="E345" t="s">
        <v>104</v>
      </c>
      <c r="F345" t="s">
        <v>50</v>
      </c>
      <c r="G345" t="s">
        <v>28</v>
      </c>
      <c r="H345" t="s">
        <v>739</v>
      </c>
      <c r="I345">
        <v>6.1</v>
      </c>
      <c r="J345">
        <v>10</v>
      </c>
      <c r="K345">
        <v>14800</v>
      </c>
      <c r="L345">
        <v>2</v>
      </c>
      <c r="M345">
        <v>4</v>
      </c>
      <c r="N345" t="s">
        <v>41</v>
      </c>
      <c r="O345" t="s">
        <v>24</v>
      </c>
      <c r="P345" t="s">
        <v>23</v>
      </c>
    </row>
    <row r="346" spans="1:16" x14ac:dyDescent="0.2">
      <c r="A346" t="s">
        <v>740</v>
      </c>
      <c r="B346">
        <v>56</v>
      </c>
      <c r="C346" t="s">
        <v>48</v>
      </c>
      <c r="D346" t="s">
        <v>89</v>
      </c>
      <c r="E346" t="s">
        <v>90</v>
      </c>
      <c r="F346" t="s">
        <v>50</v>
      </c>
      <c r="G346" t="s">
        <v>28</v>
      </c>
      <c r="H346" t="s">
        <v>741</v>
      </c>
      <c r="I346">
        <v>2.9</v>
      </c>
      <c r="J346">
        <v>32</v>
      </c>
      <c r="K346">
        <v>16200</v>
      </c>
      <c r="L346">
        <v>2</v>
      </c>
      <c r="M346">
        <v>4</v>
      </c>
      <c r="N346" t="s">
        <v>23</v>
      </c>
      <c r="O346" t="s">
        <v>36</v>
      </c>
      <c r="P346" t="s">
        <v>23</v>
      </c>
    </row>
    <row r="347" spans="1:16" x14ac:dyDescent="0.2">
      <c r="A347" t="s">
        <v>742</v>
      </c>
      <c r="B347">
        <v>26</v>
      </c>
      <c r="C347" t="s">
        <v>48</v>
      </c>
      <c r="D347" t="s">
        <v>89</v>
      </c>
      <c r="E347" t="s">
        <v>142</v>
      </c>
      <c r="F347" t="s">
        <v>50</v>
      </c>
      <c r="G347" t="s">
        <v>28</v>
      </c>
      <c r="H347" t="s">
        <v>743</v>
      </c>
      <c r="I347">
        <v>1.7</v>
      </c>
      <c r="J347">
        <v>2</v>
      </c>
      <c r="K347">
        <v>10300</v>
      </c>
      <c r="L347">
        <v>3</v>
      </c>
      <c r="M347">
        <v>3</v>
      </c>
      <c r="N347" t="s">
        <v>41</v>
      </c>
      <c r="O347" t="s">
        <v>36</v>
      </c>
      <c r="P347" t="s">
        <v>23</v>
      </c>
    </row>
    <row r="348" spans="1:16" x14ac:dyDescent="0.2">
      <c r="A348" t="s">
        <v>744</v>
      </c>
      <c r="B348">
        <v>52</v>
      </c>
      <c r="C348" t="s">
        <v>43</v>
      </c>
      <c r="D348" t="s">
        <v>89</v>
      </c>
      <c r="E348" t="s">
        <v>93</v>
      </c>
      <c r="F348" t="s">
        <v>50</v>
      </c>
      <c r="G348" t="s">
        <v>56</v>
      </c>
      <c r="H348" t="s">
        <v>745</v>
      </c>
      <c r="I348">
        <v>10.199999999999999</v>
      </c>
      <c r="J348">
        <v>25</v>
      </c>
      <c r="K348">
        <v>9800</v>
      </c>
      <c r="L348">
        <v>4</v>
      </c>
      <c r="M348">
        <v>4</v>
      </c>
      <c r="N348" t="s">
        <v>23</v>
      </c>
      <c r="O348" t="s">
        <v>36</v>
      </c>
      <c r="P348" t="s">
        <v>23</v>
      </c>
    </row>
    <row r="349" spans="1:16" x14ac:dyDescent="0.2">
      <c r="A349" t="s">
        <v>746</v>
      </c>
      <c r="B349">
        <v>36</v>
      </c>
      <c r="C349" t="s">
        <v>48</v>
      </c>
      <c r="D349" t="s">
        <v>38</v>
      </c>
      <c r="E349" t="s">
        <v>59</v>
      </c>
      <c r="F349" t="s">
        <v>50</v>
      </c>
      <c r="G349" t="s">
        <v>56</v>
      </c>
      <c r="H349" t="s">
        <v>747</v>
      </c>
      <c r="I349">
        <v>13.8</v>
      </c>
      <c r="J349">
        <v>14</v>
      </c>
      <c r="K349">
        <v>25400</v>
      </c>
      <c r="L349">
        <v>2</v>
      </c>
      <c r="M349">
        <v>2</v>
      </c>
      <c r="N349" t="s">
        <v>23</v>
      </c>
      <c r="O349" t="s">
        <v>24</v>
      </c>
      <c r="P349" t="s">
        <v>23</v>
      </c>
    </row>
    <row r="350" spans="1:16" x14ac:dyDescent="0.2">
      <c r="A350" t="s">
        <v>748</v>
      </c>
      <c r="B350">
        <v>33</v>
      </c>
      <c r="C350" t="s">
        <v>43</v>
      </c>
      <c r="D350" t="s">
        <v>32</v>
      </c>
      <c r="E350" t="s">
        <v>149</v>
      </c>
      <c r="F350" t="s">
        <v>50</v>
      </c>
      <c r="G350" t="s">
        <v>21</v>
      </c>
      <c r="H350" t="s">
        <v>111</v>
      </c>
      <c r="I350">
        <v>0.8</v>
      </c>
      <c r="J350">
        <v>6</v>
      </c>
      <c r="K350">
        <v>18400</v>
      </c>
      <c r="L350">
        <v>3</v>
      </c>
      <c r="M350">
        <v>4</v>
      </c>
      <c r="N350" t="s">
        <v>23</v>
      </c>
      <c r="O350" t="s">
        <v>24</v>
      </c>
      <c r="P350" t="s">
        <v>23</v>
      </c>
    </row>
    <row r="351" spans="1:16" x14ac:dyDescent="0.2">
      <c r="A351" t="s">
        <v>749</v>
      </c>
      <c r="B351">
        <v>55</v>
      </c>
      <c r="C351" t="s">
        <v>31</v>
      </c>
      <c r="D351" t="s">
        <v>26</v>
      </c>
      <c r="E351" t="s">
        <v>67</v>
      </c>
      <c r="F351" t="s">
        <v>20</v>
      </c>
      <c r="G351" t="s">
        <v>51</v>
      </c>
      <c r="H351" t="s">
        <v>750</v>
      </c>
      <c r="I351">
        <v>4</v>
      </c>
      <c r="J351">
        <v>34</v>
      </c>
      <c r="K351">
        <v>13100</v>
      </c>
      <c r="L351">
        <v>3</v>
      </c>
      <c r="M351">
        <v>4</v>
      </c>
      <c r="N351" t="s">
        <v>23</v>
      </c>
      <c r="O351" t="s">
        <v>24</v>
      </c>
      <c r="P351" t="s">
        <v>23</v>
      </c>
    </row>
    <row r="352" spans="1:16" x14ac:dyDescent="0.2">
      <c r="A352" t="s">
        <v>751</v>
      </c>
      <c r="B352">
        <v>52</v>
      </c>
      <c r="C352" t="s">
        <v>17</v>
      </c>
      <c r="D352" t="s">
        <v>38</v>
      </c>
      <c r="E352" t="s">
        <v>44</v>
      </c>
      <c r="F352" t="s">
        <v>34</v>
      </c>
      <c r="G352" t="s">
        <v>28</v>
      </c>
      <c r="H352" t="s">
        <v>752</v>
      </c>
      <c r="I352">
        <v>9.9</v>
      </c>
      <c r="J352">
        <v>29</v>
      </c>
      <c r="K352">
        <v>18600</v>
      </c>
      <c r="L352">
        <v>3</v>
      </c>
      <c r="M352">
        <v>4</v>
      </c>
      <c r="N352" t="s">
        <v>23</v>
      </c>
      <c r="O352" t="s">
        <v>24</v>
      </c>
      <c r="P352" t="s">
        <v>23</v>
      </c>
    </row>
    <row r="353" spans="1:16" x14ac:dyDescent="0.2">
      <c r="A353" t="s">
        <v>753</v>
      </c>
      <c r="B353">
        <v>37</v>
      </c>
      <c r="C353" t="s">
        <v>17</v>
      </c>
      <c r="D353" t="s">
        <v>26</v>
      </c>
      <c r="E353" t="s">
        <v>27</v>
      </c>
      <c r="F353" t="s">
        <v>20</v>
      </c>
      <c r="G353" t="s">
        <v>28</v>
      </c>
      <c r="H353" t="s">
        <v>754</v>
      </c>
      <c r="I353">
        <v>8.1999999999999993</v>
      </c>
      <c r="J353">
        <v>10</v>
      </c>
      <c r="K353">
        <v>16400</v>
      </c>
      <c r="L353">
        <v>2</v>
      </c>
      <c r="M353">
        <v>4</v>
      </c>
      <c r="N353" t="s">
        <v>41</v>
      </c>
      <c r="O353" t="s">
        <v>36</v>
      </c>
      <c r="P353" t="s">
        <v>23</v>
      </c>
    </row>
    <row r="354" spans="1:16" x14ac:dyDescent="0.2">
      <c r="A354" t="s">
        <v>755</v>
      </c>
      <c r="B354">
        <v>54</v>
      </c>
      <c r="C354" t="s">
        <v>17</v>
      </c>
      <c r="D354" t="s">
        <v>18</v>
      </c>
      <c r="E354" t="s">
        <v>19</v>
      </c>
      <c r="F354" t="s">
        <v>50</v>
      </c>
      <c r="G354" t="s">
        <v>28</v>
      </c>
      <c r="H354" t="s">
        <v>756</v>
      </c>
      <c r="I354">
        <v>4.5</v>
      </c>
      <c r="J354">
        <v>28</v>
      </c>
      <c r="K354">
        <v>12400</v>
      </c>
      <c r="L354">
        <v>4</v>
      </c>
      <c r="M354">
        <v>3</v>
      </c>
      <c r="N354" t="s">
        <v>23</v>
      </c>
      <c r="O354" t="s">
        <v>36</v>
      </c>
      <c r="P354" t="s">
        <v>41</v>
      </c>
    </row>
    <row r="355" spans="1:16" x14ac:dyDescent="0.2">
      <c r="A355" t="s">
        <v>757</v>
      </c>
      <c r="B355">
        <v>33</v>
      </c>
      <c r="C355" t="s">
        <v>48</v>
      </c>
      <c r="D355" t="s">
        <v>18</v>
      </c>
      <c r="E355" t="s">
        <v>199</v>
      </c>
      <c r="F355" t="s">
        <v>34</v>
      </c>
      <c r="G355" t="s">
        <v>21</v>
      </c>
      <c r="H355" t="s">
        <v>758</v>
      </c>
      <c r="I355">
        <v>1.2</v>
      </c>
      <c r="J355">
        <v>10</v>
      </c>
      <c r="K355">
        <v>13500</v>
      </c>
      <c r="L355">
        <v>2</v>
      </c>
      <c r="M355">
        <v>2</v>
      </c>
      <c r="N355" t="s">
        <v>23</v>
      </c>
      <c r="O355" t="s">
        <v>24</v>
      </c>
      <c r="P355" t="s">
        <v>23</v>
      </c>
    </row>
    <row r="356" spans="1:16" x14ac:dyDescent="0.2">
      <c r="A356" t="s">
        <v>759</v>
      </c>
      <c r="B356">
        <v>21</v>
      </c>
      <c r="C356" t="s">
        <v>48</v>
      </c>
      <c r="D356" t="s">
        <v>38</v>
      </c>
      <c r="E356" t="s">
        <v>76</v>
      </c>
      <c r="F356" t="s">
        <v>34</v>
      </c>
      <c r="G356" t="s">
        <v>21</v>
      </c>
      <c r="H356" t="s">
        <v>760</v>
      </c>
      <c r="I356">
        <v>0.8</v>
      </c>
      <c r="J356">
        <v>0</v>
      </c>
      <c r="K356">
        <v>15200</v>
      </c>
      <c r="L356">
        <v>4</v>
      </c>
      <c r="M356">
        <v>2</v>
      </c>
      <c r="N356" t="s">
        <v>23</v>
      </c>
      <c r="O356" t="s">
        <v>24</v>
      </c>
      <c r="P356" t="s">
        <v>23</v>
      </c>
    </row>
    <row r="357" spans="1:16" x14ac:dyDescent="0.2">
      <c r="A357" t="s">
        <v>761</v>
      </c>
      <c r="B357">
        <v>30</v>
      </c>
      <c r="C357" t="s">
        <v>31</v>
      </c>
      <c r="D357" t="s">
        <v>54</v>
      </c>
      <c r="E357" t="s">
        <v>64</v>
      </c>
      <c r="F357" t="s">
        <v>34</v>
      </c>
      <c r="G357" t="s">
        <v>45</v>
      </c>
      <c r="H357" t="s">
        <v>762</v>
      </c>
      <c r="I357">
        <v>2.9</v>
      </c>
      <c r="J357">
        <v>4</v>
      </c>
      <c r="K357">
        <v>9400</v>
      </c>
      <c r="L357">
        <v>2</v>
      </c>
      <c r="M357">
        <v>3</v>
      </c>
      <c r="N357" t="s">
        <v>23</v>
      </c>
      <c r="O357" t="s">
        <v>36</v>
      </c>
      <c r="P357" t="s">
        <v>23</v>
      </c>
    </row>
    <row r="358" spans="1:16" x14ac:dyDescent="0.2">
      <c r="A358" t="s">
        <v>763</v>
      </c>
      <c r="B358">
        <v>43</v>
      </c>
      <c r="C358" t="s">
        <v>43</v>
      </c>
      <c r="D358" t="s">
        <v>54</v>
      </c>
      <c r="E358" t="s">
        <v>134</v>
      </c>
      <c r="F358" t="s">
        <v>34</v>
      </c>
      <c r="G358" t="s">
        <v>51</v>
      </c>
      <c r="H358" t="s">
        <v>764</v>
      </c>
      <c r="I358">
        <v>2.9</v>
      </c>
      <c r="J358">
        <v>17</v>
      </c>
      <c r="K358">
        <v>16600</v>
      </c>
      <c r="L358">
        <v>3</v>
      </c>
      <c r="M358">
        <v>3</v>
      </c>
      <c r="N358" t="s">
        <v>23</v>
      </c>
      <c r="O358" t="s">
        <v>36</v>
      </c>
      <c r="P358" t="s">
        <v>23</v>
      </c>
    </row>
    <row r="359" spans="1:16" x14ac:dyDescent="0.2">
      <c r="A359" t="s">
        <v>765</v>
      </c>
      <c r="B359">
        <v>38</v>
      </c>
      <c r="C359" t="s">
        <v>31</v>
      </c>
      <c r="D359" t="s">
        <v>32</v>
      </c>
      <c r="E359" t="s">
        <v>149</v>
      </c>
      <c r="F359" t="s">
        <v>34</v>
      </c>
      <c r="G359" t="s">
        <v>45</v>
      </c>
      <c r="H359" t="s">
        <v>766</v>
      </c>
      <c r="I359">
        <v>11.8</v>
      </c>
      <c r="J359">
        <v>11</v>
      </c>
      <c r="K359">
        <v>19100</v>
      </c>
      <c r="L359">
        <v>3</v>
      </c>
      <c r="M359">
        <v>3</v>
      </c>
      <c r="N359" t="s">
        <v>23</v>
      </c>
      <c r="O359" t="s">
        <v>24</v>
      </c>
      <c r="P359" t="s">
        <v>23</v>
      </c>
    </row>
    <row r="360" spans="1:16" x14ac:dyDescent="0.2">
      <c r="A360" t="s">
        <v>767</v>
      </c>
      <c r="B360">
        <v>60</v>
      </c>
      <c r="C360" t="s">
        <v>43</v>
      </c>
      <c r="D360" t="s">
        <v>54</v>
      </c>
      <c r="E360" t="s">
        <v>64</v>
      </c>
      <c r="F360" t="s">
        <v>34</v>
      </c>
      <c r="G360" t="s">
        <v>51</v>
      </c>
      <c r="H360" t="s">
        <v>768</v>
      </c>
      <c r="I360">
        <v>6.9</v>
      </c>
      <c r="J360">
        <v>38</v>
      </c>
      <c r="K360">
        <v>15300</v>
      </c>
      <c r="L360">
        <v>4</v>
      </c>
      <c r="M360">
        <v>4</v>
      </c>
      <c r="N360" t="s">
        <v>23</v>
      </c>
      <c r="O360" t="s">
        <v>24</v>
      </c>
      <c r="P360" t="s">
        <v>23</v>
      </c>
    </row>
    <row r="361" spans="1:16" x14ac:dyDescent="0.2">
      <c r="A361" t="s">
        <v>769</v>
      </c>
      <c r="B361">
        <v>41</v>
      </c>
      <c r="C361" t="s">
        <v>31</v>
      </c>
      <c r="D361" t="s">
        <v>32</v>
      </c>
      <c r="E361" t="s">
        <v>149</v>
      </c>
      <c r="F361" t="s">
        <v>20</v>
      </c>
      <c r="G361" t="s">
        <v>21</v>
      </c>
      <c r="H361" t="s">
        <v>770</v>
      </c>
      <c r="I361">
        <v>2.1</v>
      </c>
      <c r="J361">
        <v>20</v>
      </c>
      <c r="K361">
        <v>23100</v>
      </c>
      <c r="L361">
        <v>1</v>
      </c>
      <c r="M361">
        <v>4</v>
      </c>
      <c r="N361" t="s">
        <v>41</v>
      </c>
      <c r="O361" t="s">
        <v>36</v>
      </c>
      <c r="P361" t="s">
        <v>23</v>
      </c>
    </row>
    <row r="362" spans="1:16" x14ac:dyDescent="0.2">
      <c r="A362" t="s">
        <v>771</v>
      </c>
      <c r="B362">
        <v>52</v>
      </c>
      <c r="C362" t="s">
        <v>43</v>
      </c>
      <c r="D362" t="s">
        <v>54</v>
      </c>
      <c r="E362" t="s">
        <v>134</v>
      </c>
      <c r="F362" t="s">
        <v>34</v>
      </c>
      <c r="G362" t="s">
        <v>28</v>
      </c>
      <c r="H362" t="s">
        <v>195</v>
      </c>
      <c r="I362">
        <v>13.3</v>
      </c>
      <c r="J362">
        <v>27</v>
      </c>
      <c r="K362">
        <v>20700</v>
      </c>
      <c r="L362">
        <v>3</v>
      </c>
      <c r="M362">
        <v>3</v>
      </c>
      <c r="N362" t="s">
        <v>23</v>
      </c>
      <c r="O362" t="s">
        <v>24</v>
      </c>
      <c r="P362" t="s">
        <v>23</v>
      </c>
    </row>
    <row r="363" spans="1:16" x14ac:dyDescent="0.2">
      <c r="A363" t="s">
        <v>772</v>
      </c>
      <c r="B363">
        <v>24</v>
      </c>
      <c r="C363" t="s">
        <v>17</v>
      </c>
      <c r="D363" t="s">
        <v>54</v>
      </c>
      <c r="E363" t="s">
        <v>134</v>
      </c>
      <c r="F363" t="s">
        <v>50</v>
      </c>
      <c r="G363" t="s">
        <v>21</v>
      </c>
      <c r="H363" t="s">
        <v>773</v>
      </c>
      <c r="I363">
        <v>1.5</v>
      </c>
      <c r="J363">
        <v>1</v>
      </c>
      <c r="K363">
        <v>15300</v>
      </c>
      <c r="L363">
        <v>4</v>
      </c>
      <c r="M363">
        <v>4</v>
      </c>
      <c r="N363" t="s">
        <v>41</v>
      </c>
      <c r="O363" t="s">
        <v>36</v>
      </c>
      <c r="P363" t="s">
        <v>23</v>
      </c>
    </row>
    <row r="364" spans="1:16" x14ac:dyDescent="0.2">
      <c r="A364" t="s">
        <v>774</v>
      </c>
      <c r="B364">
        <v>27</v>
      </c>
      <c r="C364" t="s">
        <v>31</v>
      </c>
      <c r="D364" t="s">
        <v>26</v>
      </c>
      <c r="E364" t="s">
        <v>67</v>
      </c>
      <c r="F364" t="s">
        <v>34</v>
      </c>
      <c r="G364" t="s">
        <v>21</v>
      </c>
      <c r="H364" t="s">
        <v>775</v>
      </c>
      <c r="I364">
        <v>0.7</v>
      </c>
      <c r="J364">
        <v>1</v>
      </c>
      <c r="K364">
        <v>7600</v>
      </c>
      <c r="L364">
        <v>2</v>
      </c>
      <c r="M364">
        <v>4</v>
      </c>
      <c r="N364" t="s">
        <v>41</v>
      </c>
      <c r="O364" t="s">
        <v>36</v>
      </c>
      <c r="P364" t="s">
        <v>41</v>
      </c>
    </row>
    <row r="365" spans="1:16" x14ac:dyDescent="0.2">
      <c r="A365" t="s">
        <v>776</v>
      </c>
      <c r="B365">
        <v>50</v>
      </c>
      <c r="C365" t="s">
        <v>31</v>
      </c>
      <c r="D365" t="s">
        <v>18</v>
      </c>
      <c r="E365" t="s">
        <v>199</v>
      </c>
      <c r="F365" t="s">
        <v>50</v>
      </c>
      <c r="G365" t="s">
        <v>51</v>
      </c>
      <c r="H365" t="s">
        <v>777</v>
      </c>
      <c r="I365">
        <v>14.2</v>
      </c>
      <c r="J365">
        <v>24</v>
      </c>
      <c r="K365">
        <v>13700</v>
      </c>
      <c r="L365">
        <v>2</v>
      </c>
      <c r="M365">
        <v>3</v>
      </c>
      <c r="N365" t="s">
        <v>23</v>
      </c>
      <c r="O365" t="s">
        <v>24</v>
      </c>
      <c r="P365" t="s">
        <v>23</v>
      </c>
    </row>
    <row r="366" spans="1:16" x14ac:dyDescent="0.2">
      <c r="A366" t="s">
        <v>778</v>
      </c>
      <c r="B366">
        <v>44</v>
      </c>
      <c r="C366" t="s">
        <v>48</v>
      </c>
      <c r="D366" t="s">
        <v>89</v>
      </c>
      <c r="E366" t="s">
        <v>90</v>
      </c>
      <c r="F366" t="s">
        <v>50</v>
      </c>
      <c r="G366" t="s">
        <v>28</v>
      </c>
      <c r="H366" t="s">
        <v>779</v>
      </c>
      <c r="I366">
        <v>13.6</v>
      </c>
      <c r="J366">
        <v>20</v>
      </c>
      <c r="K366">
        <v>13100</v>
      </c>
      <c r="L366">
        <v>4</v>
      </c>
      <c r="M366">
        <v>4</v>
      </c>
      <c r="N366" t="s">
        <v>41</v>
      </c>
      <c r="O366" t="s">
        <v>36</v>
      </c>
      <c r="P366" t="s">
        <v>23</v>
      </c>
    </row>
    <row r="367" spans="1:16" x14ac:dyDescent="0.2">
      <c r="A367" t="s">
        <v>780</v>
      </c>
      <c r="B367">
        <v>21</v>
      </c>
      <c r="C367" t="s">
        <v>43</v>
      </c>
      <c r="D367" t="s">
        <v>38</v>
      </c>
      <c r="E367" t="s">
        <v>59</v>
      </c>
      <c r="F367" t="s">
        <v>50</v>
      </c>
      <c r="G367" t="s">
        <v>21</v>
      </c>
      <c r="H367" t="s">
        <v>583</v>
      </c>
      <c r="I367">
        <v>0.1</v>
      </c>
      <c r="J367">
        <v>0</v>
      </c>
      <c r="K367">
        <v>23700</v>
      </c>
      <c r="L367">
        <v>1</v>
      </c>
      <c r="M367">
        <v>2</v>
      </c>
      <c r="N367" t="s">
        <v>23</v>
      </c>
      <c r="O367" t="s">
        <v>24</v>
      </c>
      <c r="P367" t="s">
        <v>23</v>
      </c>
    </row>
    <row r="368" spans="1:16" x14ac:dyDescent="0.2">
      <c r="A368" t="s">
        <v>781</v>
      </c>
      <c r="B368">
        <v>56</v>
      </c>
      <c r="C368" t="s">
        <v>43</v>
      </c>
      <c r="D368" t="s">
        <v>18</v>
      </c>
      <c r="E368" t="s">
        <v>199</v>
      </c>
      <c r="F368" t="s">
        <v>20</v>
      </c>
      <c r="G368" t="s">
        <v>51</v>
      </c>
      <c r="H368" t="s">
        <v>782</v>
      </c>
      <c r="I368">
        <v>11.9</v>
      </c>
      <c r="J368">
        <v>31</v>
      </c>
      <c r="K368">
        <v>16900</v>
      </c>
      <c r="L368">
        <v>2</v>
      </c>
      <c r="M368">
        <v>1</v>
      </c>
      <c r="N368" t="s">
        <v>23</v>
      </c>
      <c r="O368" t="s">
        <v>24</v>
      </c>
      <c r="P368" t="s">
        <v>23</v>
      </c>
    </row>
    <row r="369" spans="1:16" x14ac:dyDescent="0.2">
      <c r="A369" t="s">
        <v>783</v>
      </c>
      <c r="B369">
        <v>57</v>
      </c>
      <c r="C369" t="s">
        <v>17</v>
      </c>
      <c r="D369" t="s">
        <v>32</v>
      </c>
      <c r="E369" t="s">
        <v>139</v>
      </c>
      <c r="F369" t="s">
        <v>34</v>
      </c>
      <c r="G369" t="s">
        <v>51</v>
      </c>
      <c r="H369" t="s">
        <v>784</v>
      </c>
      <c r="I369">
        <v>12.2</v>
      </c>
      <c r="J369">
        <v>33</v>
      </c>
      <c r="K369">
        <v>13600</v>
      </c>
      <c r="L369">
        <v>4</v>
      </c>
      <c r="M369">
        <v>4</v>
      </c>
      <c r="N369" t="s">
        <v>23</v>
      </c>
      <c r="O369" t="s">
        <v>24</v>
      </c>
      <c r="P369" t="s">
        <v>23</v>
      </c>
    </row>
    <row r="370" spans="1:16" x14ac:dyDescent="0.2">
      <c r="A370" t="s">
        <v>785</v>
      </c>
      <c r="B370">
        <v>26</v>
      </c>
      <c r="C370" t="s">
        <v>43</v>
      </c>
      <c r="D370" t="s">
        <v>54</v>
      </c>
      <c r="E370" t="s">
        <v>134</v>
      </c>
      <c r="F370" t="s">
        <v>34</v>
      </c>
      <c r="G370" t="s">
        <v>56</v>
      </c>
      <c r="H370" t="s">
        <v>786</v>
      </c>
      <c r="I370">
        <v>0.1</v>
      </c>
      <c r="J370">
        <v>0</v>
      </c>
      <c r="K370">
        <v>14800</v>
      </c>
      <c r="L370">
        <v>3</v>
      </c>
      <c r="M370">
        <v>4</v>
      </c>
      <c r="N370" t="s">
        <v>23</v>
      </c>
      <c r="O370" t="s">
        <v>36</v>
      </c>
      <c r="P370" t="s">
        <v>23</v>
      </c>
    </row>
    <row r="371" spans="1:16" x14ac:dyDescent="0.2">
      <c r="A371" t="s">
        <v>787</v>
      </c>
      <c r="B371">
        <v>24</v>
      </c>
      <c r="C371" t="s">
        <v>31</v>
      </c>
      <c r="D371" t="s">
        <v>54</v>
      </c>
      <c r="E371" t="s">
        <v>134</v>
      </c>
      <c r="F371" t="s">
        <v>50</v>
      </c>
      <c r="G371" t="s">
        <v>56</v>
      </c>
      <c r="H371" t="s">
        <v>788</v>
      </c>
      <c r="I371">
        <v>1.4</v>
      </c>
      <c r="J371">
        <v>1</v>
      </c>
      <c r="K371">
        <v>14900</v>
      </c>
      <c r="L371">
        <v>3</v>
      </c>
      <c r="M371">
        <v>2</v>
      </c>
      <c r="N371" t="s">
        <v>23</v>
      </c>
      <c r="O371" t="s">
        <v>24</v>
      </c>
      <c r="P371" t="s">
        <v>41</v>
      </c>
    </row>
    <row r="372" spans="1:16" x14ac:dyDescent="0.2">
      <c r="A372" t="s">
        <v>789</v>
      </c>
      <c r="B372">
        <v>35</v>
      </c>
      <c r="C372" t="s">
        <v>48</v>
      </c>
      <c r="D372" t="s">
        <v>89</v>
      </c>
      <c r="E372" t="s">
        <v>93</v>
      </c>
      <c r="F372" t="s">
        <v>20</v>
      </c>
      <c r="G372" t="s">
        <v>28</v>
      </c>
      <c r="H372" t="s">
        <v>790</v>
      </c>
      <c r="I372">
        <v>6.2</v>
      </c>
      <c r="J372">
        <v>11</v>
      </c>
      <c r="K372">
        <v>8900</v>
      </c>
      <c r="L372">
        <v>2</v>
      </c>
      <c r="M372">
        <v>3</v>
      </c>
      <c r="N372" t="s">
        <v>23</v>
      </c>
      <c r="O372" t="s">
        <v>36</v>
      </c>
      <c r="P372" t="s">
        <v>23</v>
      </c>
    </row>
    <row r="373" spans="1:16" x14ac:dyDescent="0.2">
      <c r="A373" t="s">
        <v>791</v>
      </c>
      <c r="B373">
        <v>29</v>
      </c>
      <c r="C373" t="s">
        <v>43</v>
      </c>
      <c r="D373" t="s">
        <v>89</v>
      </c>
      <c r="E373" t="s">
        <v>101</v>
      </c>
      <c r="F373" t="s">
        <v>20</v>
      </c>
      <c r="G373" t="s">
        <v>21</v>
      </c>
      <c r="H373" t="s">
        <v>792</v>
      </c>
      <c r="I373">
        <v>0.8</v>
      </c>
      <c r="J373">
        <v>2</v>
      </c>
      <c r="K373">
        <v>16100</v>
      </c>
      <c r="L373">
        <v>2</v>
      </c>
      <c r="M373">
        <v>3</v>
      </c>
      <c r="N373" t="s">
        <v>23</v>
      </c>
      <c r="O373" t="s">
        <v>36</v>
      </c>
      <c r="P373" t="s">
        <v>23</v>
      </c>
    </row>
    <row r="374" spans="1:16" x14ac:dyDescent="0.2">
      <c r="A374" t="s">
        <v>793</v>
      </c>
      <c r="B374">
        <v>41</v>
      </c>
      <c r="C374" t="s">
        <v>17</v>
      </c>
      <c r="D374" t="s">
        <v>32</v>
      </c>
      <c r="E374" t="s">
        <v>149</v>
      </c>
      <c r="F374" t="s">
        <v>50</v>
      </c>
      <c r="G374" t="s">
        <v>45</v>
      </c>
      <c r="H374" t="s">
        <v>794</v>
      </c>
      <c r="I374">
        <v>12.3</v>
      </c>
      <c r="J374">
        <v>15</v>
      </c>
      <c r="K374">
        <v>20000</v>
      </c>
      <c r="L374">
        <v>4</v>
      </c>
      <c r="M374">
        <v>3</v>
      </c>
      <c r="N374" t="s">
        <v>23</v>
      </c>
      <c r="O374" t="s">
        <v>24</v>
      </c>
      <c r="P374" t="s">
        <v>23</v>
      </c>
    </row>
    <row r="375" spans="1:16" x14ac:dyDescent="0.2">
      <c r="A375" t="s">
        <v>795</v>
      </c>
      <c r="B375">
        <v>60</v>
      </c>
      <c r="C375" t="s">
        <v>17</v>
      </c>
      <c r="D375" t="s">
        <v>32</v>
      </c>
      <c r="E375" t="s">
        <v>149</v>
      </c>
      <c r="F375" t="s">
        <v>20</v>
      </c>
      <c r="G375" t="s">
        <v>56</v>
      </c>
      <c r="H375" t="s">
        <v>209</v>
      </c>
      <c r="I375">
        <v>9.4</v>
      </c>
      <c r="J375">
        <v>38</v>
      </c>
      <c r="K375">
        <v>24600</v>
      </c>
      <c r="L375">
        <v>2</v>
      </c>
      <c r="M375">
        <v>3</v>
      </c>
      <c r="N375" t="s">
        <v>23</v>
      </c>
      <c r="O375" t="s">
        <v>36</v>
      </c>
      <c r="P375" t="s">
        <v>41</v>
      </c>
    </row>
    <row r="376" spans="1:16" x14ac:dyDescent="0.2">
      <c r="A376" t="s">
        <v>796</v>
      </c>
      <c r="B376">
        <v>21</v>
      </c>
      <c r="C376" t="s">
        <v>48</v>
      </c>
      <c r="D376" t="s">
        <v>26</v>
      </c>
      <c r="E376" t="s">
        <v>98</v>
      </c>
      <c r="F376" t="s">
        <v>34</v>
      </c>
      <c r="G376" t="s">
        <v>28</v>
      </c>
      <c r="H376" t="s">
        <v>797</v>
      </c>
      <c r="I376">
        <v>1</v>
      </c>
      <c r="J376">
        <v>0</v>
      </c>
      <c r="K376">
        <v>9400</v>
      </c>
      <c r="L376">
        <v>3</v>
      </c>
      <c r="M376">
        <v>3</v>
      </c>
      <c r="N376" t="s">
        <v>23</v>
      </c>
      <c r="O376" t="s">
        <v>36</v>
      </c>
      <c r="P376" t="s">
        <v>23</v>
      </c>
    </row>
    <row r="377" spans="1:16" x14ac:dyDescent="0.2">
      <c r="A377" t="s">
        <v>798</v>
      </c>
      <c r="B377">
        <v>22</v>
      </c>
      <c r="C377" t="s">
        <v>48</v>
      </c>
      <c r="D377" t="s">
        <v>89</v>
      </c>
      <c r="E377" t="s">
        <v>142</v>
      </c>
      <c r="F377" t="s">
        <v>20</v>
      </c>
      <c r="G377" t="s">
        <v>28</v>
      </c>
      <c r="H377" t="s">
        <v>799</v>
      </c>
      <c r="I377">
        <v>0.8</v>
      </c>
      <c r="J377">
        <v>0</v>
      </c>
      <c r="K377">
        <v>10900</v>
      </c>
      <c r="L377">
        <v>3</v>
      </c>
      <c r="M377">
        <v>3</v>
      </c>
      <c r="N377" t="s">
        <v>41</v>
      </c>
      <c r="O377" t="s">
        <v>24</v>
      </c>
      <c r="P377" t="s">
        <v>23</v>
      </c>
    </row>
    <row r="378" spans="1:16" x14ac:dyDescent="0.2">
      <c r="A378" t="s">
        <v>800</v>
      </c>
      <c r="B378">
        <v>25</v>
      </c>
      <c r="C378" t="s">
        <v>31</v>
      </c>
      <c r="D378" t="s">
        <v>18</v>
      </c>
      <c r="E378" t="s">
        <v>19</v>
      </c>
      <c r="F378" t="s">
        <v>20</v>
      </c>
      <c r="G378" t="s">
        <v>28</v>
      </c>
      <c r="H378" t="s">
        <v>801</v>
      </c>
      <c r="I378">
        <v>1.8</v>
      </c>
      <c r="J378">
        <v>1</v>
      </c>
      <c r="K378">
        <v>8700</v>
      </c>
      <c r="L378">
        <v>5</v>
      </c>
      <c r="M378">
        <v>4</v>
      </c>
      <c r="N378" t="s">
        <v>23</v>
      </c>
      <c r="O378" t="s">
        <v>24</v>
      </c>
      <c r="P378" t="s">
        <v>23</v>
      </c>
    </row>
    <row r="379" spans="1:16" x14ac:dyDescent="0.2">
      <c r="A379" t="s">
        <v>802</v>
      </c>
      <c r="B379">
        <v>41</v>
      </c>
      <c r="C379" t="s">
        <v>43</v>
      </c>
      <c r="D379" t="s">
        <v>89</v>
      </c>
      <c r="E379" t="s">
        <v>93</v>
      </c>
      <c r="F379" t="s">
        <v>34</v>
      </c>
      <c r="G379" t="s">
        <v>51</v>
      </c>
      <c r="H379" t="s">
        <v>803</v>
      </c>
      <c r="I379">
        <v>12.8</v>
      </c>
      <c r="J379">
        <v>17</v>
      </c>
      <c r="K379">
        <v>8700</v>
      </c>
      <c r="L379">
        <v>2</v>
      </c>
      <c r="M379">
        <v>3</v>
      </c>
      <c r="N379" t="s">
        <v>23</v>
      </c>
      <c r="O379" t="s">
        <v>80</v>
      </c>
      <c r="P379" t="s">
        <v>41</v>
      </c>
    </row>
    <row r="380" spans="1:16" x14ac:dyDescent="0.2">
      <c r="A380" t="s">
        <v>804</v>
      </c>
      <c r="B380">
        <v>46</v>
      </c>
      <c r="C380" t="s">
        <v>48</v>
      </c>
      <c r="D380" t="s">
        <v>32</v>
      </c>
      <c r="E380" t="s">
        <v>149</v>
      </c>
      <c r="F380" t="s">
        <v>20</v>
      </c>
      <c r="G380" t="s">
        <v>51</v>
      </c>
      <c r="H380" t="s">
        <v>805</v>
      </c>
      <c r="I380">
        <v>3.4</v>
      </c>
      <c r="J380">
        <v>20</v>
      </c>
      <c r="K380">
        <v>21800</v>
      </c>
      <c r="L380">
        <v>4</v>
      </c>
      <c r="M380">
        <v>3</v>
      </c>
      <c r="N380" t="s">
        <v>23</v>
      </c>
      <c r="O380" t="s">
        <v>80</v>
      </c>
      <c r="P380" t="s">
        <v>23</v>
      </c>
    </row>
    <row r="381" spans="1:16" x14ac:dyDescent="0.2">
      <c r="A381" t="s">
        <v>806</v>
      </c>
      <c r="B381">
        <v>56</v>
      </c>
      <c r="C381" t="s">
        <v>43</v>
      </c>
      <c r="D381" t="s">
        <v>38</v>
      </c>
      <c r="E381" t="s">
        <v>39</v>
      </c>
      <c r="F381" t="s">
        <v>50</v>
      </c>
      <c r="G381" t="s">
        <v>45</v>
      </c>
      <c r="H381" t="s">
        <v>807</v>
      </c>
      <c r="I381">
        <v>4.8</v>
      </c>
      <c r="J381">
        <v>33</v>
      </c>
      <c r="K381">
        <v>16100</v>
      </c>
      <c r="L381">
        <v>5</v>
      </c>
      <c r="M381">
        <v>4</v>
      </c>
      <c r="N381" t="s">
        <v>41</v>
      </c>
      <c r="O381" t="s">
        <v>24</v>
      </c>
      <c r="P381" t="s">
        <v>23</v>
      </c>
    </row>
    <row r="382" spans="1:16" x14ac:dyDescent="0.2">
      <c r="A382" t="s">
        <v>808</v>
      </c>
      <c r="B382">
        <v>48</v>
      </c>
      <c r="C382" t="s">
        <v>43</v>
      </c>
      <c r="D382" t="s">
        <v>89</v>
      </c>
      <c r="E382" t="s">
        <v>142</v>
      </c>
      <c r="F382" t="s">
        <v>50</v>
      </c>
      <c r="G382" t="s">
        <v>56</v>
      </c>
      <c r="H382" t="s">
        <v>809</v>
      </c>
      <c r="I382">
        <v>12.9</v>
      </c>
      <c r="J382">
        <v>25</v>
      </c>
      <c r="K382">
        <v>14600</v>
      </c>
      <c r="L382">
        <v>3</v>
      </c>
      <c r="M382">
        <v>3</v>
      </c>
      <c r="N382" t="s">
        <v>41</v>
      </c>
      <c r="O382" t="s">
        <v>24</v>
      </c>
      <c r="P382" t="s">
        <v>23</v>
      </c>
    </row>
    <row r="383" spans="1:16" x14ac:dyDescent="0.2">
      <c r="A383" t="s">
        <v>810</v>
      </c>
      <c r="B383">
        <v>30</v>
      </c>
      <c r="C383" t="s">
        <v>43</v>
      </c>
      <c r="D383" t="s">
        <v>26</v>
      </c>
      <c r="E383" t="s">
        <v>49</v>
      </c>
      <c r="F383" t="s">
        <v>34</v>
      </c>
      <c r="G383" t="s">
        <v>21</v>
      </c>
      <c r="H383" t="s">
        <v>811</v>
      </c>
      <c r="I383">
        <v>5</v>
      </c>
      <c r="J383">
        <v>4</v>
      </c>
      <c r="K383">
        <v>15900</v>
      </c>
      <c r="L383">
        <v>3</v>
      </c>
      <c r="M383">
        <v>4</v>
      </c>
      <c r="N383" t="s">
        <v>23</v>
      </c>
      <c r="O383" t="s">
        <v>24</v>
      </c>
      <c r="P383" t="s">
        <v>23</v>
      </c>
    </row>
    <row r="384" spans="1:16" x14ac:dyDescent="0.2">
      <c r="A384" t="s">
        <v>812</v>
      </c>
      <c r="B384">
        <v>47</v>
      </c>
      <c r="C384" t="s">
        <v>48</v>
      </c>
      <c r="D384" t="s">
        <v>32</v>
      </c>
      <c r="E384" t="s">
        <v>149</v>
      </c>
      <c r="F384" t="s">
        <v>34</v>
      </c>
      <c r="G384" t="s">
        <v>56</v>
      </c>
      <c r="H384" t="s">
        <v>813</v>
      </c>
      <c r="I384">
        <v>9.5</v>
      </c>
      <c r="J384">
        <v>24</v>
      </c>
      <c r="K384">
        <v>23700</v>
      </c>
      <c r="L384">
        <v>5</v>
      </c>
      <c r="M384">
        <v>3</v>
      </c>
      <c r="N384" t="s">
        <v>23</v>
      </c>
      <c r="O384" t="s">
        <v>24</v>
      </c>
      <c r="P384" t="s">
        <v>23</v>
      </c>
    </row>
    <row r="385" spans="1:16" x14ac:dyDescent="0.2">
      <c r="A385" t="s">
        <v>814</v>
      </c>
      <c r="B385">
        <v>59</v>
      </c>
      <c r="C385" t="s">
        <v>48</v>
      </c>
      <c r="D385" t="s">
        <v>89</v>
      </c>
      <c r="E385" t="s">
        <v>142</v>
      </c>
      <c r="F385" t="s">
        <v>20</v>
      </c>
      <c r="G385" t="s">
        <v>28</v>
      </c>
      <c r="H385" t="s">
        <v>815</v>
      </c>
      <c r="I385">
        <v>5</v>
      </c>
      <c r="J385">
        <v>37</v>
      </c>
      <c r="K385">
        <v>15000</v>
      </c>
      <c r="L385">
        <v>3</v>
      </c>
      <c r="M385">
        <v>4</v>
      </c>
      <c r="N385" t="s">
        <v>23</v>
      </c>
      <c r="O385" t="s">
        <v>24</v>
      </c>
      <c r="P385" t="s">
        <v>23</v>
      </c>
    </row>
    <row r="386" spans="1:16" x14ac:dyDescent="0.2">
      <c r="A386" t="s">
        <v>816</v>
      </c>
      <c r="B386">
        <v>29</v>
      </c>
      <c r="C386" t="s">
        <v>43</v>
      </c>
      <c r="D386" t="s">
        <v>38</v>
      </c>
      <c r="E386" t="s">
        <v>59</v>
      </c>
      <c r="F386" t="s">
        <v>20</v>
      </c>
      <c r="G386" t="s">
        <v>21</v>
      </c>
      <c r="H386" t="s">
        <v>817</v>
      </c>
      <c r="I386">
        <v>2.1</v>
      </c>
      <c r="J386">
        <v>7</v>
      </c>
      <c r="K386">
        <v>22700</v>
      </c>
      <c r="L386">
        <v>3</v>
      </c>
      <c r="M386">
        <v>5</v>
      </c>
      <c r="N386" t="s">
        <v>23</v>
      </c>
      <c r="O386" t="s">
        <v>80</v>
      </c>
      <c r="P386" t="s">
        <v>23</v>
      </c>
    </row>
    <row r="387" spans="1:16" x14ac:dyDescent="0.2">
      <c r="A387" t="s">
        <v>818</v>
      </c>
      <c r="B387">
        <v>60</v>
      </c>
      <c r="C387" t="s">
        <v>48</v>
      </c>
      <c r="D387" t="s">
        <v>26</v>
      </c>
      <c r="E387" t="s">
        <v>49</v>
      </c>
      <c r="F387" t="s">
        <v>50</v>
      </c>
      <c r="G387" t="s">
        <v>56</v>
      </c>
      <c r="H387" t="s">
        <v>819</v>
      </c>
      <c r="I387">
        <v>14.8</v>
      </c>
      <c r="J387">
        <v>36</v>
      </c>
      <c r="K387">
        <v>22900</v>
      </c>
      <c r="L387">
        <v>5</v>
      </c>
      <c r="M387">
        <v>3</v>
      </c>
      <c r="N387" t="s">
        <v>23</v>
      </c>
      <c r="O387" t="s">
        <v>36</v>
      </c>
      <c r="P387" t="s">
        <v>23</v>
      </c>
    </row>
    <row r="388" spans="1:16" x14ac:dyDescent="0.2">
      <c r="A388" t="s">
        <v>820</v>
      </c>
      <c r="B388">
        <v>54</v>
      </c>
      <c r="C388" t="s">
        <v>31</v>
      </c>
      <c r="D388" t="s">
        <v>18</v>
      </c>
      <c r="E388" t="s">
        <v>19</v>
      </c>
      <c r="F388" t="s">
        <v>34</v>
      </c>
      <c r="G388" t="s">
        <v>21</v>
      </c>
      <c r="H388" t="s">
        <v>821</v>
      </c>
      <c r="I388">
        <v>9.6999999999999993</v>
      </c>
      <c r="J388">
        <v>33</v>
      </c>
      <c r="K388">
        <v>11900</v>
      </c>
      <c r="L388">
        <v>5</v>
      </c>
      <c r="M388">
        <v>3</v>
      </c>
      <c r="N388" t="s">
        <v>23</v>
      </c>
      <c r="O388" t="s">
        <v>80</v>
      </c>
      <c r="P388" t="s">
        <v>41</v>
      </c>
    </row>
    <row r="389" spans="1:16" x14ac:dyDescent="0.2">
      <c r="A389" t="s">
        <v>822</v>
      </c>
      <c r="B389">
        <v>49</v>
      </c>
      <c r="C389" t="s">
        <v>43</v>
      </c>
      <c r="D389" t="s">
        <v>26</v>
      </c>
      <c r="E389" t="s">
        <v>98</v>
      </c>
      <c r="F389" t="s">
        <v>50</v>
      </c>
      <c r="G389" t="s">
        <v>28</v>
      </c>
      <c r="H389" t="s">
        <v>823</v>
      </c>
      <c r="I389">
        <v>6.5</v>
      </c>
      <c r="J389">
        <v>25</v>
      </c>
      <c r="K389">
        <v>14600</v>
      </c>
      <c r="L389">
        <v>3</v>
      </c>
      <c r="M389">
        <v>3</v>
      </c>
      <c r="N389" t="s">
        <v>23</v>
      </c>
      <c r="O389" t="s">
        <v>24</v>
      </c>
      <c r="P389" t="s">
        <v>23</v>
      </c>
    </row>
    <row r="390" spans="1:16" x14ac:dyDescent="0.2">
      <c r="A390" t="s">
        <v>824</v>
      </c>
      <c r="B390">
        <v>32</v>
      </c>
      <c r="C390" t="s">
        <v>43</v>
      </c>
      <c r="D390" t="s">
        <v>54</v>
      </c>
      <c r="E390" t="s">
        <v>82</v>
      </c>
      <c r="F390" t="s">
        <v>50</v>
      </c>
      <c r="G390" t="s">
        <v>21</v>
      </c>
      <c r="H390" t="s">
        <v>825</v>
      </c>
      <c r="I390">
        <v>5.8</v>
      </c>
      <c r="J390">
        <v>5</v>
      </c>
      <c r="K390">
        <v>7800</v>
      </c>
      <c r="L390">
        <v>3</v>
      </c>
      <c r="M390">
        <v>3</v>
      </c>
      <c r="N390" t="s">
        <v>41</v>
      </c>
      <c r="O390" t="s">
        <v>36</v>
      </c>
      <c r="P390" t="s">
        <v>23</v>
      </c>
    </row>
    <row r="391" spans="1:16" x14ac:dyDescent="0.2">
      <c r="A391" t="s">
        <v>826</v>
      </c>
      <c r="B391">
        <v>31</v>
      </c>
      <c r="C391" t="s">
        <v>43</v>
      </c>
      <c r="D391" t="s">
        <v>32</v>
      </c>
      <c r="E391" t="s">
        <v>33</v>
      </c>
      <c r="F391" t="s">
        <v>50</v>
      </c>
      <c r="G391" t="s">
        <v>56</v>
      </c>
      <c r="H391" t="s">
        <v>827</v>
      </c>
      <c r="I391">
        <v>1.3</v>
      </c>
      <c r="J391">
        <v>5</v>
      </c>
      <c r="K391">
        <v>9800</v>
      </c>
      <c r="L391">
        <v>4</v>
      </c>
      <c r="M391">
        <v>4</v>
      </c>
      <c r="N391" t="s">
        <v>41</v>
      </c>
      <c r="O391" t="s">
        <v>36</v>
      </c>
      <c r="P391" t="s">
        <v>23</v>
      </c>
    </row>
    <row r="392" spans="1:16" x14ac:dyDescent="0.2">
      <c r="A392" t="s">
        <v>828</v>
      </c>
      <c r="B392">
        <v>31</v>
      </c>
      <c r="C392" t="s">
        <v>48</v>
      </c>
      <c r="D392" t="s">
        <v>38</v>
      </c>
      <c r="E392" t="s">
        <v>39</v>
      </c>
      <c r="F392" t="s">
        <v>50</v>
      </c>
      <c r="G392" t="s">
        <v>28</v>
      </c>
      <c r="H392" t="s">
        <v>829</v>
      </c>
      <c r="I392">
        <v>6.1</v>
      </c>
      <c r="J392">
        <v>8</v>
      </c>
      <c r="K392">
        <v>12900</v>
      </c>
      <c r="L392">
        <v>5</v>
      </c>
      <c r="M392">
        <v>3</v>
      </c>
      <c r="N392" t="s">
        <v>41</v>
      </c>
      <c r="O392" t="s">
        <v>36</v>
      </c>
      <c r="P392" t="s">
        <v>41</v>
      </c>
    </row>
    <row r="393" spans="1:16" x14ac:dyDescent="0.2">
      <c r="A393" t="s">
        <v>830</v>
      </c>
      <c r="B393">
        <v>28</v>
      </c>
      <c r="C393" t="s">
        <v>31</v>
      </c>
      <c r="D393" t="s">
        <v>32</v>
      </c>
      <c r="E393" t="s">
        <v>104</v>
      </c>
      <c r="F393" t="s">
        <v>20</v>
      </c>
      <c r="G393" t="s">
        <v>45</v>
      </c>
      <c r="H393" t="s">
        <v>585</v>
      </c>
      <c r="I393">
        <v>2.2000000000000002</v>
      </c>
      <c r="J393">
        <v>6</v>
      </c>
      <c r="K393">
        <v>14000</v>
      </c>
      <c r="L393">
        <v>4</v>
      </c>
      <c r="M393">
        <v>1</v>
      </c>
      <c r="N393" t="s">
        <v>23</v>
      </c>
      <c r="O393" t="s">
        <v>24</v>
      </c>
      <c r="P393" t="s">
        <v>23</v>
      </c>
    </row>
    <row r="394" spans="1:16" x14ac:dyDescent="0.2">
      <c r="A394" t="s">
        <v>831</v>
      </c>
      <c r="B394">
        <v>50</v>
      </c>
      <c r="C394" t="s">
        <v>43</v>
      </c>
      <c r="D394" t="s">
        <v>89</v>
      </c>
      <c r="E394" t="s">
        <v>101</v>
      </c>
      <c r="F394" t="s">
        <v>20</v>
      </c>
      <c r="G394" t="s">
        <v>45</v>
      </c>
      <c r="H394" t="s">
        <v>303</v>
      </c>
      <c r="I394">
        <v>9.5</v>
      </c>
      <c r="J394">
        <v>26</v>
      </c>
      <c r="K394">
        <v>20600</v>
      </c>
      <c r="L394">
        <v>4</v>
      </c>
      <c r="M394">
        <v>3</v>
      </c>
      <c r="N394" t="s">
        <v>23</v>
      </c>
      <c r="O394" t="s">
        <v>36</v>
      </c>
      <c r="P394" t="s">
        <v>23</v>
      </c>
    </row>
    <row r="395" spans="1:16" x14ac:dyDescent="0.2">
      <c r="A395" t="s">
        <v>832</v>
      </c>
      <c r="B395">
        <v>43</v>
      </c>
      <c r="C395" t="s">
        <v>31</v>
      </c>
      <c r="D395" t="s">
        <v>26</v>
      </c>
      <c r="E395" t="s">
        <v>67</v>
      </c>
      <c r="F395" t="s">
        <v>20</v>
      </c>
      <c r="G395" t="s">
        <v>45</v>
      </c>
      <c r="H395" t="s">
        <v>833</v>
      </c>
      <c r="I395">
        <v>3.2</v>
      </c>
      <c r="J395">
        <v>22</v>
      </c>
      <c r="K395">
        <v>9900</v>
      </c>
      <c r="L395">
        <v>4</v>
      </c>
      <c r="M395">
        <v>4</v>
      </c>
      <c r="N395" t="s">
        <v>23</v>
      </c>
      <c r="O395" t="s">
        <v>80</v>
      </c>
      <c r="P395" t="s">
        <v>41</v>
      </c>
    </row>
    <row r="396" spans="1:16" x14ac:dyDescent="0.2">
      <c r="A396" t="s">
        <v>834</v>
      </c>
      <c r="B396">
        <v>60</v>
      </c>
      <c r="C396" t="s">
        <v>17</v>
      </c>
      <c r="D396" t="s">
        <v>18</v>
      </c>
      <c r="E396" t="s">
        <v>199</v>
      </c>
      <c r="F396" t="s">
        <v>20</v>
      </c>
      <c r="G396" t="s">
        <v>51</v>
      </c>
      <c r="H396" t="s">
        <v>835</v>
      </c>
      <c r="I396">
        <v>14.8</v>
      </c>
      <c r="J396">
        <v>34</v>
      </c>
      <c r="K396">
        <v>17500</v>
      </c>
      <c r="L396">
        <v>4</v>
      </c>
      <c r="M396">
        <v>4</v>
      </c>
      <c r="N396" t="s">
        <v>23</v>
      </c>
      <c r="O396" t="s">
        <v>36</v>
      </c>
      <c r="P396" t="s">
        <v>23</v>
      </c>
    </row>
    <row r="397" spans="1:16" x14ac:dyDescent="0.2">
      <c r="A397" t="s">
        <v>836</v>
      </c>
      <c r="B397">
        <v>45</v>
      </c>
      <c r="C397" t="s">
        <v>48</v>
      </c>
      <c r="D397" t="s">
        <v>32</v>
      </c>
      <c r="E397" t="s">
        <v>33</v>
      </c>
      <c r="F397" t="s">
        <v>34</v>
      </c>
      <c r="G397" t="s">
        <v>28</v>
      </c>
      <c r="H397" t="s">
        <v>837</v>
      </c>
      <c r="I397">
        <v>1.5</v>
      </c>
      <c r="J397">
        <v>18</v>
      </c>
      <c r="K397">
        <v>13400</v>
      </c>
      <c r="L397">
        <v>4</v>
      </c>
      <c r="M397">
        <v>2</v>
      </c>
      <c r="N397" t="s">
        <v>23</v>
      </c>
      <c r="O397" t="s">
        <v>24</v>
      </c>
      <c r="P397" t="s">
        <v>23</v>
      </c>
    </row>
    <row r="398" spans="1:16" x14ac:dyDescent="0.2">
      <c r="A398" t="s">
        <v>838</v>
      </c>
      <c r="B398">
        <v>34</v>
      </c>
      <c r="C398" t="s">
        <v>48</v>
      </c>
      <c r="D398" t="s">
        <v>89</v>
      </c>
      <c r="E398" t="s">
        <v>142</v>
      </c>
      <c r="F398" t="s">
        <v>50</v>
      </c>
      <c r="G398" t="s">
        <v>56</v>
      </c>
      <c r="H398" t="s">
        <v>839</v>
      </c>
      <c r="I398">
        <v>0.7</v>
      </c>
      <c r="J398">
        <v>9</v>
      </c>
      <c r="K398">
        <v>12200</v>
      </c>
      <c r="L398">
        <v>4</v>
      </c>
      <c r="M398">
        <v>4</v>
      </c>
      <c r="N398" t="s">
        <v>23</v>
      </c>
      <c r="O398" t="s">
        <v>24</v>
      </c>
      <c r="P398" t="s">
        <v>23</v>
      </c>
    </row>
    <row r="399" spans="1:16" x14ac:dyDescent="0.2">
      <c r="A399" t="s">
        <v>840</v>
      </c>
      <c r="B399">
        <v>54</v>
      </c>
      <c r="C399" t="s">
        <v>43</v>
      </c>
      <c r="D399" t="s">
        <v>32</v>
      </c>
      <c r="E399" t="s">
        <v>33</v>
      </c>
      <c r="F399" t="s">
        <v>34</v>
      </c>
      <c r="G399" t="s">
        <v>51</v>
      </c>
      <c r="H399" t="s">
        <v>841</v>
      </c>
      <c r="I399">
        <v>13.3</v>
      </c>
      <c r="J399">
        <v>29</v>
      </c>
      <c r="K399">
        <v>14200</v>
      </c>
      <c r="L399">
        <v>4</v>
      </c>
      <c r="M399">
        <v>3</v>
      </c>
      <c r="N399" t="s">
        <v>23</v>
      </c>
      <c r="O399" t="s">
        <v>24</v>
      </c>
      <c r="P399" t="s">
        <v>23</v>
      </c>
    </row>
    <row r="400" spans="1:16" x14ac:dyDescent="0.2">
      <c r="A400" t="s">
        <v>842</v>
      </c>
      <c r="B400">
        <v>28</v>
      </c>
      <c r="C400" t="s">
        <v>48</v>
      </c>
      <c r="D400" t="s">
        <v>26</v>
      </c>
      <c r="E400" t="s">
        <v>67</v>
      </c>
      <c r="F400" t="s">
        <v>34</v>
      </c>
      <c r="G400" t="s">
        <v>45</v>
      </c>
      <c r="H400" t="s">
        <v>843</v>
      </c>
      <c r="I400">
        <v>5</v>
      </c>
      <c r="J400">
        <v>7</v>
      </c>
      <c r="K400">
        <v>7500</v>
      </c>
      <c r="L400">
        <v>4</v>
      </c>
      <c r="M400">
        <v>3</v>
      </c>
      <c r="N400" t="s">
        <v>23</v>
      </c>
      <c r="O400" t="s">
        <v>24</v>
      </c>
      <c r="P400" t="s">
        <v>41</v>
      </c>
    </row>
    <row r="401" spans="1:16" x14ac:dyDescent="0.2">
      <c r="A401" t="s">
        <v>844</v>
      </c>
      <c r="B401">
        <v>39</v>
      </c>
      <c r="C401" t="s">
        <v>17</v>
      </c>
      <c r="D401" t="s">
        <v>54</v>
      </c>
      <c r="E401" t="s">
        <v>55</v>
      </c>
      <c r="F401" t="s">
        <v>20</v>
      </c>
      <c r="G401" t="s">
        <v>45</v>
      </c>
      <c r="H401" t="s">
        <v>845</v>
      </c>
      <c r="I401">
        <v>1.5</v>
      </c>
      <c r="J401">
        <v>16</v>
      </c>
      <c r="K401">
        <v>10700</v>
      </c>
      <c r="L401">
        <v>3</v>
      </c>
      <c r="M401">
        <v>3</v>
      </c>
      <c r="N401" t="s">
        <v>41</v>
      </c>
      <c r="O401" t="s">
        <v>36</v>
      </c>
      <c r="P401" t="s">
        <v>23</v>
      </c>
    </row>
    <row r="402" spans="1:16" x14ac:dyDescent="0.2">
      <c r="A402" t="s">
        <v>846</v>
      </c>
      <c r="B402">
        <v>51</v>
      </c>
      <c r="C402" t="s">
        <v>31</v>
      </c>
      <c r="D402" t="s">
        <v>32</v>
      </c>
      <c r="E402" t="s">
        <v>33</v>
      </c>
      <c r="F402" t="s">
        <v>34</v>
      </c>
      <c r="G402" t="s">
        <v>21</v>
      </c>
      <c r="H402" t="s">
        <v>847</v>
      </c>
      <c r="I402">
        <v>0.8</v>
      </c>
      <c r="J402">
        <v>27</v>
      </c>
      <c r="K402">
        <v>13800</v>
      </c>
      <c r="L402">
        <v>3</v>
      </c>
      <c r="M402">
        <v>4</v>
      </c>
      <c r="N402" t="s">
        <v>23</v>
      </c>
      <c r="O402" t="s">
        <v>24</v>
      </c>
      <c r="P402" t="s">
        <v>23</v>
      </c>
    </row>
    <row r="403" spans="1:16" x14ac:dyDescent="0.2">
      <c r="A403" t="s">
        <v>848</v>
      </c>
      <c r="B403">
        <v>57</v>
      </c>
      <c r="C403" t="s">
        <v>48</v>
      </c>
      <c r="D403" t="s">
        <v>89</v>
      </c>
      <c r="E403" t="s">
        <v>90</v>
      </c>
      <c r="F403" t="s">
        <v>20</v>
      </c>
      <c r="G403" t="s">
        <v>45</v>
      </c>
      <c r="H403" t="s">
        <v>849</v>
      </c>
      <c r="I403">
        <v>14.5</v>
      </c>
      <c r="J403">
        <v>31</v>
      </c>
      <c r="K403">
        <v>16100</v>
      </c>
      <c r="L403">
        <v>3</v>
      </c>
      <c r="M403">
        <v>3</v>
      </c>
      <c r="N403" t="s">
        <v>23</v>
      </c>
      <c r="O403" t="s">
        <v>36</v>
      </c>
      <c r="P403" t="s">
        <v>23</v>
      </c>
    </row>
    <row r="404" spans="1:16" x14ac:dyDescent="0.2">
      <c r="A404" t="s">
        <v>850</v>
      </c>
      <c r="B404">
        <v>42</v>
      </c>
      <c r="C404" t="s">
        <v>48</v>
      </c>
      <c r="D404" t="s">
        <v>32</v>
      </c>
      <c r="E404" t="s">
        <v>139</v>
      </c>
      <c r="F404" t="s">
        <v>34</v>
      </c>
      <c r="G404" t="s">
        <v>21</v>
      </c>
      <c r="H404" t="s">
        <v>851</v>
      </c>
      <c r="I404">
        <v>13.4</v>
      </c>
      <c r="J404">
        <v>18</v>
      </c>
      <c r="K404">
        <v>10700</v>
      </c>
      <c r="L404">
        <v>4</v>
      </c>
      <c r="M404">
        <v>3</v>
      </c>
      <c r="N404" t="s">
        <v>23</v>
      </c>
      <c r="O404" t="s">
        <v>36</v>
      </c>
      <c r="P404" t="s">
        <v>23</v>
      </c>
    </row>
    <row r="405" spans="1:16" x14ac:dyDescent="0.2">
      <c r="A405" t="s">
        <v>852</v>
      </c>
      <c r="B405">
        <v>26</v>
      </c>
      <c r="C405" t="s">
        <v>17</v>
      </c>
      <c r="D405" t="s">
        <v>32</v>
      </c>
      <c r="E405" t="s">
        <v>149</v>
      </c>
      <c r="F405" t="s">
        <v>20</v>
      </c>
      <c r="G405" t="s">
        <v>21</v>
      </c>
      <c r="H405" t="s">
        <v>853</v>
      </c>
      <c r="I405">
        <v>1.3</v>
      </c>
      <c r="J405">
        <v>2</v>
      </c>
      <c r="K405">
        <v>19000</v>
      </c>
      <c r="L405">
        <v>4</v>
      </c>
      <c r="M405">
        <v>3</v>
      </c>
      <c r="N405" t="s">
        <v>23</v>
      </c>
      <c r="O405" t="s">
        <v>24</v>
      </c>
      <c r="P405" t="s">
        <v>23</v>
      </c>
    </row>
    <row r="406" spans="1:16" x14ac:dyDescent="0.2">
      <c r="A406" t="s">
        <v>854</v>
      </c>
      <c r="B406">
        <v>51</v>
      </c>
      <c r="C406" t="s">
        <v>17</v>
      </c>
      <c r="D406" t="s">
        <v>38</v>
      </c>
      <c r="E406" t="s">
        <v>39</v>
      </c>
      <c r="F406" t="s">
        <v>34</v>
      </c>
      <c r="G406" t="s">
        <v>45</v>
      </c>
      <c r="H406" t="s">
        <v>855</v>
      </c>
      <c r="I406">
        <v>3.3</v>
      </c>
      <c r="J406">
        <v>26</v>
      </c>
      <c r="K406">
        <v>14900</v>
      </c>
      <c r="L406">
        <v>5</v>
      </c>
      <c r="M406">
        <v>4</v>
      </c>
      <c r="N406" t="s">
        <v>23</v>
      </c>
      <c r="O406" t="s">
        <v>36</v>
      </c>
      <c r="P406" t="s">
        <v>23</v>
      </c>
    </row>
    <row r="407" spans="1:16" x14ac:dyDescent="0.2">
      <c r="A407" t="s">
        <v>856</v>
      </c>
      <c r="B407">
        <v>50</v>
      </c>
      <c r="C407" t="s">
        <v>17</v>
      </c>
      <c r="D407" t="s">
        <v>26</v>
      </c>
      <c r="E407" t="s">
        <v>67</v>
      </c>
      <c r="F407" t="s">
        <v>20</v>
      </c>
      <c r="G407" t="s">
        <v>56</v>
      </c>
      <c r="H407" t="s">
        <v>857</v>
      </c>
      <c r="I407">
        <v>11.2</v>
      </c>
      <c r="J407">
        <v>26</v>
      </c>
      <c r="K407">
        <v>10500</v>
      </c>
      <c r="L407">
        <v>3</v>
      </c>
      <c r="M407">
        <v>2</v>
      </c>
      <c r="N407" t="s">
        <v>23</v>
      </c>
      <c r="O407" t="s">
        <v>36</v>
      </c>
      <c r="P407" t="s">
        <v>23</v>
      </c>
    </row>
    <row r="408" spans="1:16" x14ac:dyDescent="0.2">
      <c r="A408" t="s">
        <v>858</v>
      </c>
      <c r="B408">
        <v>22</v>
      </c>
      <c r="C408" t="s">
        <v>17</v>
      </c>
      <c r="D408" t="s">
        <v>18</v>
      </c>
      <c r="E408" t="s">
        <v>199</v>
      </c>
      <c r="F408" t="s">
        <v>50</v>
      </c>
      <c r="G408" t="s">
        <v>45</v>
      </c>
      <c r="H408" t="s">
        <v>859</v>
      </c>
      <c r="I408">
        <v>0.4</v>
      </c>
      <c r="J408">
        <v>0</v>
      </c>
      <c r="K408">
        <v>9800</v>
      </c>
      <c r="L408">
        <v>3</v>
      </c>
      <c r="M408">
        <v>3</v>
      </c>
      <c r="N408" t="s">
        <v>41</v>
      </c>
      <c r="O408" t="s">
        <v>24</v>
      </c>
      <c r="P408" t="s">
        <v>23</v>
      </c>
    </row>
    <row r="409" spans="1:16" x14ac:dyDescent="0.2">
      <c r="A409" t="s">
        <v>860</v>
      </c>
      <c r="B409">
        <v>28</v>
      </c>
      <c r="C409" t="s">
        <v>48</v>
      </c>
      <c r="D409" t="s">
        <v>26</v>
      </c>
      <c r="E409" t="s">
        <v>98</v>
      </c>
      <c r="F409" t="s">
        <v>34</v>
      </c>
      <c r="G409" t="s">
        <v>45</v>
      </c>
      <c r="H409" t="s">
        <v>861</v>
      </c>
      <c r="I409">
        <v>6.7</v>
      </c>
      <c r="J409">
        <v>7</v>
      </c>
      <c r="K409">
        <v>12300</v>
      </c>
      <c r="L409">
        <v>2</v>
      </c>
      <c r="M409">
        <v>4</v>
      </c>
      <c r="N409" t="s">
        <v>23</v>
      </c>
      <c r="O409" t="s">
        <v>24</v>
      </c>
      <c r="P409" t="s">
        <v>23</v>
      </c>
    </row>
    <row r="410" spans="1:16" x14ac:dyDescent="0.2">
      <c r="A410" t="s">
        <v>862</v>
      </c>
      <c r="B410">
        <v>40</v>
      </c>
      <c r="C410" t="s">
        <v>17</v>
      </c>
      <c r="D410" t="s">
        <v>26</v>
      </c>
      <c r="E410" t="s">
        <v>67</v>
      </c>
      <c r="F410" t="s">
        <v>50</v>
      </c>
      <c r="G410" t="s">
        <v>28</v>
      </c>
      <c r="H410" t="s">
        <v>863</v>
      </c>
      <c r="I410">
        <v>7.2</v>
      </c>
      <c r="J410">
        <v>15</v>
      </c>
      <c r="K410">
        <v>10300</v>
      </c>
      <c r="L410">
        <v>1</v>
      </c>
      <c r="M410">
        <v>1</v>
      </c>
      <c r="N410" t="s">
        <v>23</v>
      </c>
      <c r="O410" t="s">
        <v>24</v>
      </c>
      <c r="P410" t="s">
        <v>23</v>
      </c>
    </row>
    <row r="411" spans="1:16" x14ac:dyDescent="0.2">
      <c r="A411" t="s">
        <v>864</v>
      </c>
      <c r="B411">
        <v>60</v>
      </c>
      <c r="C411" t="s">
        <v>31</v>
      </c>
      <c r="D411" t="s">
        <v>26</v>
      </c>
      <c r="E411" t="s">
        <v>49</v>
      </c>
      <c r="F411" t="s">
        <v>34</v>
      </c>
      <c r="G411" t="s">
        <v>45</v>
      </c>
      <c r="H411" t="s">
        <v>865</v>
      </c>
      <c r="I411">
        <v>6.7</v>
      </c>
      <c r="J411">
        <v>37</v>
      </c>
      <c r="K411">
        <v>22000</v>
      </c>
      <c r="L411">
        <v>4</v>
      </c>
      <c r="M411">
        <v>4</v>
      </c>
      <c r="N411" t="s">
        <v>23</v>
      </c>
      <c r="O411" t="s">
        <v>80</v>
      </c>
      <c r="P411" t="s">
        <v>23</v>
      </c>
    </row>
    <row r="412" spans="1:16" x14ac:dyDescent="0.2">
      <c r="A412" t="s">
        <v>866</v>
      </c>
      <c r="B412">
        <v>27</v>
      </c>
      <c r="C412" t="s">
        <v>48</v>
      </c>
      <c r="D412" t="s">
        <v>54</v>
      </c>
      <c r="E412" t="s">
        <v>134</v>
      </c>
      <c r="F412" t="s">
        <v>50</v>
      </c>
      <c r="G412" t="s">
        <v>28</v>
      </c>
      <c r="H412" t="s">
        <v>867</v>
      </c>
      <c r="I412">
        <v>1.7</v>
      </c>
      <c r="J412">
        <v>3</v>
      </c>
      <c r="K412">
        <v>16600</v>
      </c>
      <c r="L412">
        <v>4</v>
      </c>
      <c r="M412">
        <v>3</v>
      </c>
      <c r="N412" t="s">
        <v>41</v>
      </c>
      <c r="O412" t="s">
        <v>24</v>
      </c>
      <c r="P412" t="s">
        <v>23</v>
      </c>
    </row>
    <row r="413" spans="1:16" x14ac:dyDescent="0.2">
      <c r="A413" t="s">
        <v>868</v>
      </c>
      <c r="B413">
        <v>41</v>
      </c>
      <c r="C413" t="s">
        <v>43</v>
      </c>
      <c r="D413" t="s">
        <v>26</v>
      </c>
      <c r="E413" t="s">
        <v>98</v>
      </c>
      <c r="F413" t="s">
        <v>34</v>
      </c>
      <c r="G413" t="s">
        <v>21</v>
      </c>
      <c r="H413" t="s">
        <v>869</v>
      </c>
      <c r="I413">
        <v>10.4</v>
      </c>
      <c r="J413">
        <v>17</v>
      </c>
      <c r="K413">
        <v>12300</v>
      </c>
      <c r="L413">
        <v>3</v>
      </c>
      <c r="M413">
        <v>3</v>
      </c>
      <c r="N413" t="s">
        <v>23</v>
      </c>
      <c r="O413" t="s">
        <v>24</v>
      </c>
      <c r="P413" t="s">
        <v>23</v>
      </c>
    </row>
    <row r="414" spans="1:16" x14ac:dyDescent="0.2">
      <c r="A414" t="s">
        <v>870</v>
      </c>
      <c r="B414">
        <v>41</v>
      </c>
      <c r="C414" t="s">
        <v>31</v>
      </c>
      <c r="D414" t="s">
        <v>38</v>
      </c>
      <c r="E414" t="s">
        <v>39</v>
      </c>
      <c r="F414" t="s">
        <v>50</v>
      </c>
      <c r="G414" t="s">
        <v>21</v>
      </c>
      <c r="H414" t="s">
        <v>871</v>
      </c>
      <c r="I414">
        <v>13.9</v>
      </c>
      <c r="J414">
        <v>16</v>
      </c>
      <c r="K414">
        <v>12900</v>
      </c>
      <c r="L414">
        <v>3</v>
      </c>
      <c r="M414">
        <v>3</v>
      </c>
      <c r="N414" t="s">
        <v>23</v>
      </c>
      <c r="O414" t="s">
        <v>36</v>
      </c>
      <c r="P414" t="s">
        <v>23</v>
      </c>
    </row>
    <row r="415" spans="1:16" x14ac:dyDescent="0.2">
      <c r="A415" t="s">
        <v>872</v>
      </c>
      <c r="B415">
        <v>58</v>
      </c>
      <c r="C415" t="s">
        <v>31</v>
      </c>
      <c r="D415" t="s">
        <v>32</v>
      </c>
      <c r="E415" t="s">
        <v>104</v>
      </c>
      <c r="F415" t="s">
        <v>20</v>
      </c>
      <c r="G415" t="s">
        <v>56</v>
      </c>
      <c r="H415" t="s">
        <v>873</v>
      </c>
      <c r="I415">
        <v>9.3000000000000007</v>
      </c>
      <c r="J415">
        <v>34</v>
      </c>
      <c r="K415">
        <v>17900</v>
      </c>
      <c r="L415">
        <v>3</v>
      </c>
      <c r="M415">
        <v>3</v>
      </c>
      <c r="N415" t="s">
        <v>23</v>
      </c>
      <c r="O415" t="s">
        <v>24</v>
      </c>
      <c r="P415" t="s">
        <v>23</v>
      </c>
    </row>
    <row r="416" spans="1:16" x14ac:dyDescent="0.2">
      <c r="A416" t="s">
        <v>874</v>
      </c>
      <c r="B416">
        <v>41</v>
      </c>
      <c r="C416" t="s">
        <v>31</v>
      </c>
      <c r="D416" t="s">
        <v>89</v>
      </c>
      <c r="E416" t="s">
        <v>101</v>
      </c>
      <c r="F416" t="s">
        <v>50</v>
      </c>
      <c r="G416" t="s">
        <v>28</v>
      </c>
      <c r="H416" t="s">
        <v>875</v>
      </c>
      <c r="I416">
        <v>2.1</v>
      </c>
      <c r="J416">
        <v>16</v>
      </c>
      <c r="K416">
        <v>18100</v>
      </c>
      <c r="L416">
        <v>2</v>
      </c>
      <c r="M416">
        <v>5</v>
      </c>
      <c r="N416" t="s">
        <v>41</v>
      </c>
      <c r="O416" t="s">
        <v>24</v>
      </c>
      <c r="P416" t="s">
        <v>23</v>
      </c>
    </row>
    <row r="417" spans="1:16" x14ac:dyDescent="0.2">
      <c r="A417" t="s">
        <v>876</v>
      </c>
      <c r="B417">
        <v>26</v>
      </c>
      <c r="C417" t="s">
        <v>48</v>
      </c>
      <c r="D417" t="s">
        <v>18</v>
      </c>
      <c r="E417" t="s">
        <v>19</v>
      </c>
      <c r="F417" t="s">
        <v>50</v>
      </c>
      <c r="G417" t="s">
        <v>56</v>
      </c>
      <c r="H417" t="s">
        <v>877</v>
      </c>
      <c r="I417">
        <v>4.4000000000000004</v>
      </c>
      <c r="J417">
        <v>4</v>
      </c>
      <c r="K417">
        <v>8900</v>
      </c>
      <c r="L417">
        <v>5</v>
      </c>
      <c r="M417">
        <v>4</v>
      </c>
      <c r="N417" t="s">
        <v>41</v>
      </c>
      <c r="O417" t="s">
        <v>24</v>
      </c>
      <c r="P417" t="s">
        <v>23</v>
      </c>
    </row>
    <row r="418" spans="1:16" x14ac:dyDescent="0.2">
      <c r="A418" t="s">
        <v>878</v>
      </c>
      <c r="B418">
        <v>33</v>
      </c>
      <c r="C418" t="s">
        <v>48</v>
      </c>
      <c r="D418" t="s">
        <v>89</v>
      </c>
      <c r="E418" t="s">
        <v>101</v>
      </c>
      <c r="F418" t="s">
        <v>20</v>
      </c>
      <c r="G418" t="s">
        <v>56</v>
      </c>
      <c r="H418" t="s">
        <v>879</v>
      </c>
      <c r="I418">
        <v>6.8</v>
      </c>
      <c r="J418">
        <v>11</v>
      </c>
      <c r="K418">
        <v>17700</v>
      </c>
      <c r="L418">
        <v>4</v>
      </c>
      <c r="M418">
        <v>4</v>
      </c>
      <c r="N418" t="s">
        <v>23</v>
      </c>
      <c r="O418" t="s">
        <v>80</v>
      </c>
      <c r="P418" t="s">
        <v>23</v>
      </c>
    </row>
    <row r="419" spans="1:16" x14ac:dyDescent="0.2">
      <c r="A419" t="s">
        <v>880</v>
      </c>
      <c r="B419">
        <v>29</v>
      </c>
      <c r="C419" t="s">
        <v>17</v>
      </c>
      <c r="D419" t="s">
        <v>54</v>
      </c>
      <c r="E419" t="s">
        <v>134</v>
      </c>
      <c r="F419" t="s">
        <v>50</v>
      </c>
      <c r="G419" t="s">
        <v>21</v>
      </c>
      <c r="H419" t="s">
        <v>881</v>
      </c>
      <c r="I419">
        <v>1.6</v>
      </c>
      <c r="J419">
        <v>2</v>
      </c>
      <c r="K419">
        <v>15300</v>
      </c>
      <c r="L419">
        <v>5</v>
      </c>
      <c r="M419">
        <v>5</v>
      </c>
      <c r="N419" t="s">
        <v>41</v>
      </c>
      <c r="O419" t="s">
        <v>36</v>
      </c>
      <c r="P419" t="s">
        <v>23</v>
      </c>
    </row>
    <row r="420" spans="1:16" x14ac:dyDescent="0.2">
      <c r="A420" t="s">
        <v>882</v>
      </c>
      <c r="B420">
        <v>58</v>
      </c>
      <c r="C420" t="s">
        <v>31</v>
      </c>
      <c r="D420" t="s">
        <v>26</v>
      </c>
      <c r="E420" t="s">
        <v>49</v>
      </c>
      <c r="F420" t="s">
        <v>50</v>
      </c>
      <c r="G420" t="s">
        <v>28</v>
      </c>
      <c r="H420" t="s">
        <v>883</v>
      </c>
      <c r="I420">
        <v>13.4</v>
      </c>
      <c r="J420">
        <v>34</v>
      </c>
      <c r="K420">
        <v>22200</v>
      </c>
      <c r="L420">
        <v>3</v>
      </c>
      <c r="M420">
        <v>3</v>
      </c>
      <c r="N420" t="s">
        <v>41</v>
      </c>
      <c r="O420" t="s">
        <v>24</v>
      </c>
      <c r="P420" t="s">
        <v>23</v>
      </c>
    </row>
    <row r="421" spans="1:16" x14ac:dyDescent="0.2">
      <c r="A421" t="s">
        <v>884</v>
      </c>
      <c r="B421">
        <v>29</v>
      </c>
      <c r="C421" t="s">
        <v>17</v>
      </c>
      <c r="D421" t="s">
        <v>26</v>
      </c>
      <c r="E421" t="s">
        <v>98</v>
      </c>
      <c r="F421" t="s">
        <v>20</v>
      </c>
      <c r="G421" t="s">
        <v>28</v>
      </c>
      <c r="H421" t="s">
        <v>885</v>
      </c>
      <c r="I421">
        <v>0.2</v>
      </c>
      <c r="J421">
        <v>7</v>
      </c>
      <c r="K421">
        <v>12900</v>
      </c>
      <c r="L421">
        <v>1</v>
      </c>
      <c r="M421">
        <v>4</v>
      </c>
      <c r="N421" t="s">
        <v>23</v>
      </c>
      <c r="O421" t="s">
        <v>24</v>
      </c>
      <c r="P421" t="s">
        <v>23</v>
      </c>
    </row>
    <row r="422" spans="1:16" x14ac:dyDescent="0.2">
      <c r="A422" t="s">
        <v>886</v>
      </c>
      <c r="B422">
        <v>60</v>
      </c>
      <c r="C422" t="s">
        <v>31</v>
      </c>
      <c r="D422" t="s">
        <v>38</v>
      </c>
      <c r="E422" t="s">
        <v>59</v>
      </c>
      <c r="F422" t="s">
        <v>34</v>
      </c>
      <c r="G422" t="s">
        <v>45</v>
      </c>
      <c r="H422" t="s">
        <v>887</v>
      </c>
      <c r="I422">
        <v>9.8000000000000007</v>
      </c>
      <c r="J422">
        <v>38</v>
      </c>
      <c r="K422">
        <v>29900</v>
      </c>
      <c r="L422">
        <v>4</v>
      </c>
      <c r="M422">
        <v>3</v>
      </c>
      <c r="N422" t="s">
        <v>23</v>
      </c>
      <c r="O422" t="s">
        <v>24</v>
      </c>
      <c r="P422" t="s">
        <v>23</v>
      </c>
    </row>
    <row r="423" spans="1:16" x14ac:dyDescent="0.2">
      <c r="A423" t="s">
        <v>888</v>
      </c>
      <c r="B423">
        <v>47</v>
      </c>
      <c r="C423" t="s">
        <v>17</v>
      </c>
      <c r="D423" t="s">
        <v>18</v>
      </c>
      <c r="E423" t="s">
        <v>199</v>
      </c>
      <c r="F423" t="s">
        <v>20</v>
      </c>
      <c r="G423" t="s">
        <v>56</v>
      </c>
      <c r="H423" t="s">
        <v>889</v>
      </c>
      <c r="I423">
        <v>12.3</v>
      </c>
      <c r="J423">
        <v>22</v>
      </c>
      <c r="K423">
        <v>13000</v>
      </c>
      <c r="L423">
        <v>5</v>
      </c>
      <c r="M423">
        <v>4</v>
      </c>
      <c r="N423" t="s">
        <v>23</v>
      </c>
      <c r="O423" t="s">
        <v>24</v>
      </c>
      <c r="P423" t="s">
        <v>23</v>
      </c>
    </row>
    <row r="424" spans="1:16" x14ac:dyDescent="0.2">
      <c r="A424" t="s">
        <v>890</v>
      </c>
      <c r="B424">
        <v>54</v>
      </c>
      <c r="C424" t="s">
        <v>48</v>
      </c>
      <c r="D424" t="s">
        <v>32</v>
      </c>
      <c r="E424" t="s">
        <v>149</v>
      </c>
      <c r="F424" t="s">
        <v>34</v>
      </c>
      <c r="G424" t="s">
        <v>21</v>
      </c>
      <c r="H424" t="s">
        <v>891</v>
      </c>
      <c r="I424">
        <v>11.2</v>
      </c>
      <c r="J424">
        <v>33</v>
      </c>
      <c r="K424">
        <v>25200</v>
      </c>
      <c r="L424">
        <v>2</v>
      </c>
      <c r="M424">
        <v>3</v>
      </c>
      <c r="N424" t="s">
        <v>23</v>
      </c>
      <c r="O424" t="s">
        <v>80</v>
      </c>
      <c r="P424" t="s">
        <v>41</v>
      </c>
    </row>
    <row r="425" spans="1:16" x14ac:dyDescent="0.2">
      <c r="A425" t="s">
        <v>892</v>
      </c>
      <c r="B425">
        <v>51</v>
      </c>
      <c r="C425" t="s">
        <v>43</v>
      </c>
      <c r="D425" t="s">
        <v>32</v>
      </c>
      <c r="E425" t="s">
        <v>139</v>
      </c>
      <c r="F425" t="s">
        <v>20</v>
      </c>
      <c r="G425" t="s">
        <v>56</v>
      </c>
      <c r="H425" t="s">
        <v>893</v>
      </c>
      <c r="I425">
        <v>11</v>
      </c>
      <c r="J425">
        <v>27</v>
      </c>
      <c r="K425">
        <v>13600</v>
      </c>
      <c r="L425">
        <v>4</v>
      </c>
      <c r="M425">
        <v>3</v>
      </c>
      <c r="N425" t="s">
        <v>23</v>
      </c>
      <c r="O425" t="s">
        <v>80</v>
      </c>
      <c r="P425" t="s">
        <v>23</v>
      </c>
    </row>
    <row r="426" spans="1:16" x14ac:dyDescent="0.2">
      <c r="A426" t="s">
        <v>894</v>
      </c>
      <c r="B426">
        <v>57</v>
      </c>
      <c r="C426" t="s">
        <v>17</v>
      </c>
      <c r="D426" t="s">
        <v>18</v>
      </c>
      <c r="E426" t="s">
        <v>199</v>
      </c>
      <c r="F426" t="s">
        <v>50</v>
      </c>
      <c r="G426" t="s">
        <v>28</v>
      </c>
      <c r="H426" t="s">
        <v>895</v>
      </c>
      <c r="I426">
        <v>1.3</v>
      </c>
      <c r="J426">
        <v>34</v>
      </c>
      <c r="K426">
        <v>17000</v>
      </c>
      <c r="L426">
        <v>4</v>
      </c>
      <c r="M426">
        <v>4</v>
      </c>
      <c r="N426" t="s">
        <v>23</v>
      </c>
      <c r="O426" t="s">
        <v>24</v>
      </c>
      <c r="P426" t="s">
        <v>23</v>
      </c>
    </row>
    <row r="427" spans="1:16" x14ac:dyDescent="0.2">
      <c r="A427" t="s">
        <v>896</v>
      </c>
      <c r="B427">
        <v>53</v>
      </c>
      <c r="C427" t="s">
        <v>43</v>
      </c>
      <c r="D427" t="s">
        <v>54</v>
      </c>
      <c r="E427" t="s">
        <v>55</v>
      </c>
      <c r="F427" t="s">
        <v>34</v>
      </c>
      <c r="G427" t="s">
        <v>28</v>
      </c>
      <c r="H427" t="s">
        <v>897</v>
      </c>
      <c r="I427">
        <v>6</v>
      </c>
      <c r="J427">
        <v>32</v>
      </c>
      <c r="K427">
        <v>12900</v>
      </c>
      <c r="L427">
        <v>4</v>
      </c>
      <c r="M427">
        <v>3</v>
      </c>
      <c r="N427" t="s">
        <v>41</v>
      </c>
      <c r="O427" t="s">
        <v>36</v>
      </c>
      <c r="P427" t="s">
        <v>23</v>
      </c>
    </row>
    <row r="428" spans="1:16" x14ac:dyDescent="0.2">
      <c r="A428" t="s">
        <v>898</v>
      </c>
      <c r="B428">
        <v>37</v>
      </c>
      <c r="C428" t="s">
        <v>43</v>
      </c>
      <c r="D428" t="s">
        <v>32</v>
      </c>
      <c r="E428" t="s">
        <v>104</v>
      </c>
      <c r="F428" t="s">
        <v>50</v>
      </c>
      <c r="G428" t="s">
        <v>28</v>
      </c>
      <c r="H428" t="s">
        <v>899</v>
      </c>
      <c r="I428">
        <v>5.0999999999999996</v>
      </c>
      <c r="J428">
        <v>10</v>
      </c>
      <c r="K428">
        <v>12900</v>
      </c>
      <c r="L428">
        <v>4</v>
      </c>
      <c r="M428">
        <v>5</v>
      </c>
      <c r="N428" t="s">
        <v>23</v>
      </c>
      <c r="O428" t="s">
        <v>24</v>
      </c>
      <c r="P428" t="s">
        <v>23</v>
      </c>
    </row>
    <row r="429" spans="1:16" x14ac:dyDescent="0.2">
      <c r="A429" t="s">
        <v>900</v>
      </c>
      <c r="B429">
        <v>49</v>
      </c>
      <c r="C429" t="s">
        <v>17</v>
      </c>
      <c r="D429" t="s">
        <v>38</v>
      </c>
      <c r="E429" t="s">
        <v>76</v>
      </c>
      <c r="F429" t="s">
        <v>20</v>
      </c>
      <c r="G429" t="s">
        <v>28</v>
      </c>
      <c r="H429" t="s">
        <v>901</v>
      </c>
      <c r="I429">
        <v>13.7</v>
      </c>
      <c r="J429">
        <v>23</v>
      </c>
      <c r="K429">
        <v>18300</v>
      </c>
      <c r="L429">
        <v>4</v>
      </c>
      <c r="M429">
        <v>4</v>
      </c>
      <c r="N429" t="s">
        <v>41</v>
      </c>
      <c r="O429" t="s">
        <v>24</v>
      </c>
      <c r="P429" t="s">
        <v>23</v>
      </c>
    </row>
    <row r="430" spans="1:16" x14ac:dyDescent="0.2">
      <c r="A430" t="s">
        <v>902</v>
      </c>
      <c r="B430">
        <v>40</v>
      </c>
      <c r="C430" t="s">
        <v>48</v>
      </c>
      <c r="D430" t="s">
        <v>38</v>
      </c>
      <c r="E430" t="s">
        <v>59</v>
      </c>
      <c r="F430" t="s">
        <v>50</v>
      </c>
      <c r="G430" t="s">
        <v>28</v>
      </c>
      <c r="H430" t="s">
        <v>903</v>
      </c>
      <c r="I430">
        <v>11.4</v>
      </c>
      <c r="J430">
        <v>16</v>
      </c>
      <c r="K430">
        <v>25700</v>
      </c>
      <c r="L430">
        <v>4</v>
      </c>
      <c r="M430">
        <v>3</v>
      </c>
      <c r="N430" t="s">
        <v>41</v>
      </c>
      <c r="O430" t="s">
        <v>24</v>
      </c>
      <c r="P430" t="s">
        <v>23</v>
      </c>
    </row>
    <row r="431" spans="1:16" x14ac:dyDescent="0.2">
      <c r="A431" t="s">
        <v>904</v>
      </c>
      <c r="B431">
        <v>54</v>
      </c>
      <c r="C431" t="s">
        <v>48</v>
      </c>
      <c r="D431" t="s">
        <v>18</v>
      </c>
      <c r="E431" t="s">
        <v>199</v>
      </c>
      <c r="F431" t="s">
        <v>50</v>
      </c>
      <c r="G431" t="s">
        <v>51</v>
      </c>
      <c r="H431" t="s">
        <v>905</v>
      </c>
      <c r="I431">
        <v>0.9</v>
      </c>
      <c r="J431">
        <v>28</v>
      </c>
      <c r="K431">
        <v>16200</v>
      </c>
      <c r="L431">
        <v>4</v>
      </c>
      <c r="M431">
        <v>5</v>
      </c>
      <c r="N431" t="s">
        <v>23</v>
      </c>
      <c r="O431" t="s">
        <v>80</v>
      </c>
      <c r="P431" t="s">
        <v>23</v>
      </c>
    </row>
    <row r="432" spans="1:16" x14ac:dyDescent="0.2">
      <c r="A432" t="s">
        <v>906</v>
      </c>
      <c r="B432">
        <v>58</v>
      </c>
      <c r="C432" t="s">
        <v>43</v>
      </c>
      <c r="D432" t="s">
        <v>54</v>
      </c>
      <c r="E432" t="s">
        <v>64</v>
      </c>
      <c r="F432" t="s">
        <v>50</v>
      </c>
      <c r="G432" t="s">
        <v>56</v>
      </c>
      <c r="H432" t="s">
        <v>273</v>
      </c>
      <c r="I432">
        <v>9.9</v>
      </c>
      <c r="J432">
        <v>34</v>
      </c>
      <c r="K432">
        <v>17100</v>
      </c>
      <c r="L432">
        <v>4</v>
      </c>
      <c r="M432">
        <v>4</v>
      </c>
      <c r="N432" t="s">
        <v>23</v>
      </c>
      <c r="O432" t="s">
        <v>24</v>
      </c>
      <c r="P432" t="s">
        <v>23</v>
      </c>
    </row>
    <row r="433" spans="1:16" x14ac:dyDescent="0.2">
      <c r="A433" t="s">
        <v>907</v>
      </c>
      <c r="B433">
        <v>25</v>
      </c>
      <c r="C433" t="s">
        <v>17</v>
      </c>
      <c r="D433" t="s">
        <v>54</v>
      </c>
      <c r="E433" t="s">
        <v>82</v>
      </c>
      <c r="F433" t="s">
        <v>34</v>
      </c>
      <c r="G433" t="s">
        <v>21</v>
      </c>
      <c r="H433" t="s">
        <v>908</v>
      </c>
      <c r="I433">
        <v>2.2000000000000002</v>
      </c>
      <c r="J433">
        <v>4</v>
      </c>
      <c r="K433">
        <v>8200</v>
      </c>
      <c r="L433">
        <v>2</v>
      </c>
      <c r="M433">
        <v>3</v>
      </c>
      <c r="N433" t="s">
        <v>41</v>
      </c>
      <c r="O433" t="s">
        <v>24</v>
      </c>
      <c r="P433" t="s">
        <v>41</v>
      </c>
    </row>
    <row r="434" spans="1:16" x14ac:dyDescent="0.2">
      <c r="A434" t="s">
        <v>909</v>
      </c>
      <c r="B434">
        <v>59</v>
      </c>
      <c r="C434" t="s">
        <v>43</v>
      </c>
      <c r="D434" t="s">
        <v>54</v>
      </c>
      <c r="E434" t="s">
        <v>55</v>
      </c>
      <c r="F434" t="s">
        <v>20</v>
      </c>
      <c r="G434" t="s">
        <v>45</v>
      </c>
      <c r="H434" t="s">
        <v>910</v>
      </c>
      <c r="I434">
        <v>2.7</v>
      </c>
      <c r="J434">
        <v>33</v>
      </c>
      <c r="K434">
        <v>13000</v>
      </c>
      <c r="L434">
        <v>2</v>
      </c>
      <c r="M434">
        <v>4</v>
      </c>
      <c r="N434" t="s">
        <v>23</v>
      </c>
      <c r="O434" t="s">
        <v>36</v>
      </c>
      <c r="P434" t="s">
        <v>23</v>
      </c>
    </row>
    <row r="435" spans="1:16" x14ac:dyDescent="0.2">
      <c r="A435" t="s">
        <v>911</v>
      </c>
      <c r="B435">
        <v>50</v>
      </c>
      <c r="C435" t="s">
        <v>48</v>
      </c>
      <c r="D435" t="s">
        <v>32</v>
      </c>
      <c r="E435" t="s">
        <v>33</v>
      </c>
      <c r="F435" t="s">
        <v>50</v>
      </c>
      <c r="G435" t="s">
        <v>45</v>
      </c>
      <c r="H435" t="s">
        <v>912</v>
      </c>
      <c r="I435">
        <v>1.7</v>
      </c>
      <c r="J435">
        <v>24</v>
      </c>
      <c r="K435">
        <v>14600</v>
      </c>
      <c r="L435">
        <v>5</v>
      </c>
      <c r="M435">
        <v>3</v>
      </c>
      <c r="N435" t="s">
        <v>23</v>
      </c>
      <c r="O435" t="s">
        <v>80</v>
      </c>
      <c r="P435" t="s">
        <v>23</v>
      </c>
    </row>
    <row r="436" spans="1:16" x14ac:dyDescent="0.2">
      <c r="A436" t="s">
        <v>913</v>
      </c>
      <c r="B436">
        <v>24</v>
      </c>
      <c r="C436" t="s">
        <v>43</v>
      </c>
      <c r="D436" t="s">
        <v>54</v>
      </c>
      <c r="E436" t="s">
        <v>64</v>
      </c>
      <c r="F436" t="s">
        <v>34</v>
      </c>
      <c r="G436" t="s">
        <v>28</v>
      </c>
      <c r="H436" t="s">
        <v>914</v>
      </c>
      <c r="I436">
        <v>0.6</v>
      </c>
      <c r="J436">
        <v>0</v>
      </c>
      <c r="K436">
        <v>8500</v>
      </c>
      <c r="L436">
        <v>3</v>
      </c>
      <c r="M436">
        <v>4</v>
      </c>
      <c r="N436" t="s">
        <v>41</v>
      </c>
      <c r="O436" t="s">
        <v>24</v>
      </c>
      <c r="P436" t="s">
        <v>23</v>
      </c>
    </row>
    <row r="437" spans="1:16" x14ac:dyDescent="0.2">
      <c r="A437" t="s">
        <v>915</v>
      </c>
      <c r="B437">
        <v>27</v>
      </c>
      <c r="C437" t="s">
        <v>17</v>
      </c>
      <c r="D437" t="s">
        <v>26</v>
      </c>
      <c r="E437" t="s">
        <v>49</v>
      </c>
      <c r="F437" t="s">
        <v>20</v>
      </c>
      <c r="G437" t="s">
        <v>56</v>
      </c>
      <c r="H437" t="s">
        <v>916</v>
      </c>
      <c r="I437">
        <v>5.8</v>
      </c>
      <c r="J437">
        <v>5</v>
      </c>
      <c r="K437">
        <v>17200</v>
      </c>
      <c r="L437">
        <v>2</v>
      </c>
      <c r="M437">
        <v>4</v>
      </c>
      <c r="N437" t="s">
        <v>23</v>
      </c>
      <c r="O437" t="s">
        <v>36</v>
      </c>
      <c r="P437" t="s">
        <v>41</v>
      </c>
    </row>
    <row r="438" spans="1:16" x14ac:dyDescent="0.2">
      <c r="A438" t="s">
        <v>917</v>
      </c>
      <c r="B438">
        <v>49</v>
      </c>
      <c r="C438" t="s">
        <v>31</v>
      </c>
      <c r="D438" t="s">
        <v>18</v>
      </c>
      <c r="E438" t="s">
        <v>199</v>
      </c>
      <c r="F438" t="s">
        <v>34</v>
      </c>
      <c r="G438" t="s">
        <v>21</v>
      </c>
      <c r="H438" t="s">
        <v>524</v>
      </c>
      <c r="I438">
        <v>10.7</v>
      </c>
      <c r="J438">
        <v>28</v>
      </c>
      <c r="K438">
        <v>16700</v>
      </c>
      <c r="L438">
        <v>4</v>
      </c>
      <c r="M438">
        <v>5</v>
      </c>
      <c r="N438" t="s">
        <v>23</v>
      </c>
      <c r="O438" t="s">
        <v>24</v>
      </c>
      <c r="P438" t="s">
        <v>23</v>
      </c>
    </row>
    <row r="439" spans="1:16" x14ac:dyDescent="0.2">
      <c r="A439" t="s">
        <v>918</v>
      </c>
      <c r="B439">
        <v>51</v>
      </c>
      <c r="C439" t="s">
        <v>48</v>
      </c>
      <c r="D439" t="s">
        <v>89</v>
      </c>
      <c r="E439" t="s">
        <v>101</v>
      </c>
      <c r="F439" t="s">
        <v>50</v>
      </c>
      <c r="G439" t="s">
        <v>51</v>
      </c>
      <c r="H439" t="s">
        <v>181</v>
      </c>
      <c r="I439">
        <v>8.6999999999999993</v>
      </c>
      <c r="J439">
        <v>27</v>
      </c>
      <c r="K439">
        <v>18600</v>
      </c>
      <c r="L439">
        <v>3</v>
      </c>
      <c r="M439">
        <v>1</v>
      </c>
      <c r="N439" t="s">
        <v>23</v>
      </c>
      <c r="O439" t="s">
        <v>36</v>
      </c>
      <c r="P439" t="s">
        <v>23</v>
      </c>
    </row>
    <row r="440" spans="1:16" x14ac:dyDescent="0.2">
      <c r="A440" t="s">
        <v>919</v>
      </c>
      <c r="B440">
        <v>26</v>
      </c>
      <c r="C440" t="s">
        <v>17</v>
      </c>
      <c r="D440" t="s">
        <v>38</v>
      </c>
      <c r="E440" t="s">
        <v>39</v>
      </c>
      <c r="F440" t="s">
        <v>50</v>
      </c>
      <c r="G440" t="s">
        <v>45</v>
      </c>
      <c r="H440" t="s">
        <v>920</v>
      </c>
      <c r="I440">
        <v>2.9</v>
      </c>
      <c r="J440">
        <v>3</v>
      </c>
      <c r="K440">
        <v>10700</v>
      </c>
      <c r="L440">
        <v>2</v>
      </c>
      <c r="M440">
        <v>3</v>
      </c>
      <c r="N440" t="s">
        <v>23</v>
      </c>
      <c r="O440" t="s">
        <v>36</v>
      </c>
      <c r="P440" t="s">
        <v>23</v>
      </c>
    </row>
    <row r="441" spans="1:16" x14ac:dyDescent="0.2">
      <c r="A441" t="s">
        <v>921</v>
      </c>
      <c r="B441">
        <v>27</v>
      </c>
      <c r="C441" t="s">
        <v>43</v>
      </c>
      <c r="D441" t="s">
        <v>32</v>
      </c>
      <c r="E441" t="s">
        <v>149</v>
      </c>
      <c r="F441" t="s">
        <v>50</v>
      </c>
      <c r="G441" t="s">
        <v>28</v>
      </c>
      <c r="H441" t="s">
        <v>922</v>
      </c>
      <c r="I441">
        <v>1.9</v>
      </c>
      <c r="J441">
        <v>1</v>
      </c>
      <c r="K441">
        <v>19000</v>
      </c>
      <c r="L441">
        <v>2</v>
      </c>
      <c r="M441">
        <v>4</v>
      </c>
      <c r="N441" t="s">
        <v>23</v>
      </c>
      <c r="O441" t="s">
        <v>24</v>
      </c>
      <c r="P441" t="s">
        <v>23</v>
      </c>
    </row>
    <row r="442" spans="1:16" x14ac:dyDescent="0.2">
      <c r="A442" t="s">
        <v>923</v>
      </c>
      <c r="B442">
        <v>52</v>
      </c>
      <c r="C442" t="s">
        <v>31</v>
      </c>
      <c r="D442" t="s">
        <v>54</v>
      </c>
      <c r="E442" t="s">
        <v>64</v>
      </c>
      <c r="F442" t="s">
        <v>34</v>
      </c>
      <c r="G442" t="s">
        <v>56</v>
      </c>
      <c r="H442" t="s">
        <v>924</v>
      </c>
      <c r="I442">
        <v>9.6999999999999993</v>
      </c>
      <c r="J442">
        <v>27</v>
      </c>
      <c r="K442">
        <v>13200</v>
      </c>
      <c r="L442">
        <v>3</v>
      </c>
      <c r="M442">
        <v>3</v>
      </c>
      <c r="N442" t="s">
        <v>23</v>
      </c>
      <c r="O442" t="s">
        <v>24</v>
      </c>
      <c r="P442" t="s">
        <v>23</v>
      </c>
    </row>
    <row r="443" spans="1:16" x14ac:dyDescent="0.2">
      <c r="A443" t="s">
        <v>925</v>
      </c>
      <c r="B443">
        <v>25</v>
      </c>
      <c r="C443" t="s">
        <v>43</v>
      </c>
      <c r="D443" t="s">
        <v>26</v>
      </c>
      <c r="E443" t="s">
        <v>27</v>
      </c>
      <c r="F443" t="s">
        <v>20</v>
      </c>
      <c r="G443" t="s">
        <v>45</v>
      </c>
      <c r="H443" t="s">
        <v>926</v>
      </c>
      <c r="I443">
        <v>4</v>
      </c>
      <c r="J443">
        <v>4</v>
      </c>
      <c r="K443">
        <v>17300</v>
      </c>
      <c r="L443">
        <v>4</v>
      </c>
      <c r="M443">
        <v>3</v>
      </c>
      <c r="N443" t="s">
        <v>23</v>
      </c>
      <c r="O443" t="s">
        <v>24</v>
      </c>
      <c r="P443" t="s">
        <v>23</v>
      </c>
    </row>
    <row r="444" spans="1:16" x14ac:dyDescent="0.2">
      <c r="A444" t="s">
        <v>927</v>
      </c>
      <c r="B444">
        <v>40</v>
      </c>
      <c r="C444" t="s">
        <v>43</v>
      </c>
      <c r="D444" t="s">
        <v>18</v>
      </c>
      <c r="E444" t="s">
        <v>19</v>
      </c>
      <c r="F444" t="s">
        <v>20</v>
      </c>
      <c r="G444" t="s">
        <v>45</v>
      </c>
      <c r="H444" t="s">
        <v>928</v>
      </c>
      <c r="I444">
        <v>2.1</v>
      </c>
      <c r="J444">
        <v>13</v>
      </c>
      <c r="K444">
        <v>10600</v>
      </c>
      <c r="L444">
        <v>2</v>
      </c>
      <c r="M444">
        <v>4</v>
      </c>
      <c r="N444" t="s">
        <v>23</v>
      </c>
      <c r="O444" t="s">
        <v>24</v>
      </c>
      <c r="P444" t="s">
        <v>23</v>
      </c>
    </row>
    <row r="445" spans="1:16" x14ac:dyDescent="0.2">
      <c r="A445" t="s">
        <v>929</v>
      </c>
      <c r="B445">
        <v>46</v>
      </c>
      <c r="C445" t="s">
        <v>43</v>
      </c>
      <c r="D445" t="s">
        <v>38</v>
      </c>
      <c r="E445" t="s">
        <v>44</v>
      </c>
      <c r="F445" t="s">
        <v>50</v>
      </c>
      <c r="G445" t="s">
        <v>21</v>
      </c>
      <c r="H445" t="s">
        <v>930</v>
      </c>
      <c r="I445">
        <v>2.6</v>
      </c>
      <c r="J445">
        <v>23</v>
      </c>
      <c r="K445">
        <v>19800</v>
      </c>
      <c r="L445">
        <v>3</v>
      </c>
      <c r="M445">
        <v>3</v>
      </c>
      <c r="N445" t="s">
        <v>23</v>
      </c>
      <c r="O445" t="s">
        <v>24</v>
      </c>
      <c r="P445" t="s">
        <v>41</v>
      </c>
    </row>
    <row r="446" spans="1:16" x14ac:dyDescent="0.2">
      <c r="A446" t="s">
        <v>931</v>
      </c>
      <c r="B446">
        <v>30</v>
      </c>
      <c r="C446" t="s">
        <v>31</v>
      </c>
      <c r="D446" t="s">
        <v>54</v>
      </c>
      <c r="E446" t="s">
        <v>64</v>
      </c>
      <c r="F446" t="s">
        <v>20</v>
      </c>
      <c r="G446" t="s">
        <v>21</v>
      </c>
      <c r="H446" t="s">
        <v>932</v>
      </c>
      <c r="I446">
        <v>2.2000000000000002</v>
      </c>
      <c r="J446">
        <v>3</v>
      </c>
      <c r="K446">
        <v>10300</v>
      </c>
      <c r="L446">
        <v>4</v>
      </c>
      <c r="M446">
        <v>3</v>
      </c>
      <c r="N446" t="s">
        <v>23</v>
      </c>
      <c r="O446" t="s">
        <v>24</v>
      </c>
      <c r="P446" t="s">
        <v>23</v>
      </c>
    </row>
    <row r="447" spans="1:16" x14ac:dyDescent="0.2">
      <c r="A447" t="s">
        <v>933</v>
      </c>
      <c r="B447">
        <v>21</v>
      </c>
      <c r="C447" t="s">
        <v>31</v>
      </c>
      <c r="D447" t="s">
        <v>38</v>
      </c>
      <c r="E447" t="s">
        <v>39</v>
      </c>
      <c r="F447" t="s">
        <v>34</v>
      </c>
      <c r="G447" t="s">
        <v>45</v>
      </c>
      <c r="H447" t="s">
        <v>934</v>
      </c>
      <c r="I447">
        <v>0.2</v>
      </c>
      <c r="J447">
        <v>0</v>
      </c>
      <c r="K447">
        <v>9200</v>
      </c>
      <c r="L447">
        <v>4</v>
      </c>
      <c r="M447">
        <v>4</v>
      </c>
      <c r="N447" t="s">
        <v>23</v>
      </c>
      <c r="O447" t="s">
        <v>36</v>
      </c>
      <c r="P447" t="s">
        <v>23</v>
      </c>
    </row>
    <row r="448" spans="1:16" x14ac:dyDescent="0.2">
      <c r="A448" t="s">
        <v>935</v>
      </c>
      <c r="B448">
        <v>38</v>
      </c>
      <c r="C448" t="s">
        <v>17</v>
      </c>
      <c r="D448" t="s">
        <v>26</v>
      </c>
      <c r="E448" t="s">
        <v>27</v>
      </c>
      <c r="F448" t="s">
        <v>34</v>
      </c>
      <c r="G448" t="s">
        <v>51</v>
      </c>
      <c r="H448" t="s">
        <v>936</v>
      </c>
      <c r="I448">
        <v>9.6999999999999993</v>
      </c>
      <c r="J448">
        <v>13</v>
      </c>
      <c r="K448">
        <v>17900</v>
      </c>
      <c r="L448">
        <v>5</v>
      </c>
      <c r="M448">
        <v>4</v>
      </c>
      <c r="N448" t="s">
        <v>41</v>
      </c>
      <c r="O448" t="s">
        <v>24</v>
      </c>
      <c r="P448" t="s">
        <v>23</v>
      </c>
    </row>
    <row r="449" spans="1:16" x14ac:dyDescent="0.2">
      <c r="A449" t="s">
        <v>937</v>
      </c>
      <c r="B449">
        <v>21</v>
      </c>
      <c r="C449" t="s">
        <v>43</v>
      </c>
      <c r="D449" t="s">
        <v>32</v>
      </c>
      <c r="E449" t="s">
        <v>149</v>
      </c>
      <c r="F449" t="s">
        <v>50</v>
      </c>
      <c r="G449" t="s">
        <v>45</v>
      </c>
      <c r="H449" t="s">
        <v>938</v>
      </c>
      <c r="I449">
        <v>0.3</v>
      </c>
      <c r="J449">
        <v>0</v>
      </c>
      <c r="K449">
        <v>17300</v>
      </c>
      <c r="L449">
        <v>5</v>
      </c>
      <c r="M449">
        <v>5</v>
      </c>
      <c r="N449" t="s">
        <v>23</v>
      </c>
      <c r="O449" t="s">
        <v>36</v>
      </c>
      <c r="P449" t="s">
        <v>23</v>
      </c>
    </row>
    <row r="450" spans="1:16" x14ac:dyDescent="0.2">
      <c r="A450" t="s">
        <v>939</v>
      </c>
      <c r="B450">
        <v>33</v>
      </c>
      <c r="C450" t="s">
        <v>43</v>
      </c>
      <c r="D450" t="s">
        <v>32</v>
      </c>
      <c r="E450" t="s">
        <v>139</v>
      </c>
      <c r="F450" t="s">
        <v>50</v>
      </c>
      <c r="G450" t="s">
        <v>51</v>
      </c>
      <c r="H450" t="s">
        <v>940</v>
      </c>
      <c r="I450">
        <v>3.2</v>
      </c>
      <c r="J450">
        <v>12</v>
      </c>
      <c r="K450">
        <v>10900</v>
      </c>
      <c r="L450">
        <v>3</v>
      </c>
      <c r="M450">
        <v>2</v>
      </c>
      <c r="N450" t="s">
        <v>23</v>
      </c>
      <c r="O450" t="s">
        <v>24</v>
      </c>
      <c r="P450" t="s">
        <v>23</v>
      </c>
    </row>
    <row r="451" spans="1:16" x14ac:dyDescent="0.2">
      <c r="A451" t="s">
        <v>941</v>
      </c>
      <c r="B451">
        <v>23</v>
      </c>
      <c r="C451" t="s">
        <v>31</v>
      </c>
      <c r="D451" t="s">
        <v>32</v>
      </c>
      <c r="E451" t="s">
        <v>149</v>
      </c>
      <c r="F451" t="s">
        <v>34</v>
      </c>
      <c r="G451" t="s">
        <v>56</v>
      </c>
      <c r="H451" t="s">
        <v>942</v>
      </c>
      <c r="I451">
        <v>0.3</v>
      </c>
      <c r="J451">
        <v>2</v>
      </c>
      <c r="K451">
        <v>19400</v>
      </c>
      <c r="L451">
        <v>2</v>
      </c>
      <c r="M451">
        <v>4</v>
      </c>
      <c r="N451" t="s">
        <v>23</v>
      </c>
      <c r="O451" t="s">
        <v>24</v>
      </c>
      <c r="P451" t="s">
        <v>23</v>
      </c>
    </row>
    <row r="452" spans="1:16" x14ac:dyDescent="0.2">
      <c r="A452" t="s">
        <v>943</v>
      </c>
      <c r="B452">
        <v>33</v>
      </c>
      <c r="C452" t="s">
        <v>43</v>
      </c>
      <c r="D452" t="s">
        <v>32</v>
      </c>
      <c r="E452" t="s">
        <v>149</v>
      </c>
      <c r="F452" t="s">
        <v>50</v>
      </c>
      <c r="G452" t="s">
        <v>45</v>
      </c>
      <c r="H452" t="s">
        <v>944</v>
      </c>
      <c r="I452">
        <v>7.2</v>
      </c>
      <c r="J452">
        <v>7</v>
      </c>
      <c r="K452">
        <v>19400</v>
      </c>
      <c r="L452">
        <v>3</v>
      </c>
      <c r="M452">
        <v>2</v>
      </c>
      <c r="N452" t="s">
        <v>41</v>
      </c>
      <c r="O452" t="s">
        <v>24</v>
      </c>
      <c r="P452" t="s">
        <v>23</v>
      </c>
    </row>
    <row r="453" spans="1:16" x14ac:dyDescent="0.2">
      <c r="A453" t="s">
        <v>945</v>
      </c>
      <c r="B453">
        <v>58</v>
      </c>
      <c r="C453" t="s">
        <v>43</v>
      </c>
      <c r="D453" t="s">
        <v>54</v>
      </c>
      <c r="E453" t="s">
        <v>134</v>
      </c>
      <c r="F453" t="s">
        <v>34</v>
      </c>
      <c r="G453" t="s">
        <v>51</v>
      </c>
      <c r="H453" t="s">
        <v>946</v>
      </c>
      <c r="I453">
        <v>1.2</v>
      </c>
      <c r="J453">
        <v>34</v>
      </c>
      <c r="K453">
        <v>21300</v>
      </c>
      <c r="L453">
        <v>2</v>
      </c>
      <c r="M453">
        <v>5</v>
      </c>
      <c r="N453" t="s">
        <v>23</v>
      </c>
      <c r="O453" t="s">
        <v>24</v>
      </c>
      <c r="P453" t="s">
        <v>41</v>
      </c>
    </row>
    <row r="454" spans="1:16" x14ac:dyDescent="0.2">
      <c r="A454" t="s">
        <v>947</v>
      </c>
      <c r="B454">
        <v>42</v>
      </c>
      <c r="C454" t="s">
        <v>48</v>
      </c>
      <c r="D454" t="s">
        <v>32</v>
      </c>
      <c r="E454" t="s">
        <v>104</v>
      </c>
      <c r="F454" t="s">
        <v>20</v>
      </c>
      <c r="G454" t="s">
        <v>51</v>
      </c>
      <c r="H454" t="s">
        <v>948</v>
      </c>
      <c r="I454">
        <v>0.8</v>
      </c>
      <c r="J454">
        <v>20</v>
      </c>
      <c r="K454">
        <v>16300</v>
      </c>
      <c r="L454">
        <v>1</v>
      </c>
      <c r="M454">
        <v>2</v>
      </c>
      <c r="N454" t="s">
        <v>23</v>
      </c>
      <c r="O454" t="s">
        <v>24</v>
      </c>
      <c r="P454" t="s">
        <v>41</v>
      </c>
    </row>
    <row r="455" spans="1:16" x14ac:dyDescent="0.2">
      <c r="A455" t="s">
        <v>949</v>
      </c>
      <c r="B455">
        <v>60</v>
      </c>
      <c r="C455" t="s">
        <v>31</v>
      </c>
      <c r="D455" t="s">
        <v>89</v>
      </c>
      <c r="E455" t="s">
        <v>142</v>
      </c>
      <c r="F455" t="s">
        <v>50</v>
      </c>
      <c r="G455" t="s">
        <v>21</v>
      </c>
      <c r="H455" t="s">
        <v>950</v>
      </c>
      <c r="I455">
        <v>12.3</v>
      </c>
      <c r="J455">
        <v>38</v>
      </c>
      <c r="K455">
        <v>16000</v>
      </c>
      <c r="L455">
        <v>2</v>
      </c>
      <c r="M455">
        <v>4</v>
      </c>
      <c r="N455" t="s">
        <v>23</v>
      </c>
      <c r="O455" t="s">
        <v>80</v>
      </c>
      <c r="P455" t="s">
        <v>23</v>
      </c>
    </row>
    <row r="456" spans="1:16" x14ac:dyDescent="0.2">
      <c r="A456" t="s">
        <v>951</v>
      </c>
      <c r="B456">
        <v>36</v>
      </c>
      <c r="C456" t="s">
        <v>31</v>
      </c>
      <c r="D456" t="s">
        <v>18</v>
      </c>
      <c r="E456" t="s">
        <v>160</v>
      </c>
      <c r="F456" t="s">
        <v>20</v>
      </c>
      <c r="G456" t="s">
        <v>21</v>
      </c>
      <c r="H456" t="s">
        <v>952</v>
      </c>
      <c r="I456">
        <v>7</v>
      </c>
      <c r="J456">
        <v>14</v>
      </c>
      <c r="K456">
        <v>19400</v>
      </c>
      <c r="L456">
        <v>2</v>
      </c>
      <c r="M456">
        <v>5</v>
      </c>
      <c r="N456" t="s">
        <v>23</v>
      </c>
      <c r="O456" t="s">
        <v>80</v>
      </c>
      <c r="P456" t="s">
        <v>23</v>
      </c>
    </row>
    <row r="457" spans="1:16" x14ac:dyDescent="0.2">
      <c r="A457" t="s">
        <v>953</v>
      </c>
      <c r="B457">
        <v>48</v>
      </c>
      <c r="C457" t="s">
        <v>43</v>
      </c>
      <c r="D457" t="s">
        <v>38</v>
      </c>
      <c r="E457" t="s">
        <v>39</v>
      </c>
      <c r="F457" t="s">
        <v>20</v>
      </c>
      <c r="G457" t="s">
        <v>51</v>
      </c>
      <c r="H457" t="s">
        <v>954</v>
      </c>
      <c r="I457">
        <v>8.4</v>
      </c>
      <c r="J457">
        <v>23</v>
      </c>
      <c r="K457">
        <v>13300</v>
      </c>
      <c r="L457">
        <v>3</v>
      </c>
      <c r="M457">
        <v>3</v>
      </c>
      <c r="N457" t="s">
        <v>23</v>
      </c>
      <c r="O457" t="s">
        <v>24</v>
      </c>
      <c r="P457" t="s">
        <v>23</v>
      </c>
    </row>
    <row r="458" spans="1:16" x14ac:dyDescent="0.2">
      <c r="A458" t="s">
        <v>955</v>
      </c>
      <c r="B458">
        <v>26</v>
      </c>
      <c r="C458" t="s">
        <v>31</v>
      </c>
      <c r="D458" t="s">
        <v>32</v>
      </c>
      <c r="E458" t="s">
        <v>104</v>
      </c>
      <c r="F458" t="s">
        <v>20</v>
      </c>
      <c r="G458" t="s">
        <v>28</v>
      </c>
      <c r="H458" t="s">
        <v>956</v>
      </c>
      <c r="I458">
        <v>5.2</v>
      </c>
      <c r="J458">
        <v>5</v>
      </c>
      <c r="K458">
        <v>12500</v>
      </c>
      <c r="L458">
        <v>2</v>
      </c>
      <c r="M458">
        <v>3</v>
      </c>
      <c r="N458" t="s">
        <v>23</v>
      </c>
      <c r="O458" t="s">
        <v>36</v>
      </c>
      <c r="P458" t="s">
        <v>23</v>
      </c>
    </row>
    <row r="459" spans="1:16" x14ac:dyDescent="0.2">
      <c r="A459" t="s">
        <v>957</v>
      </c>
      <c r="B459">
        <v>50</v>
      </c>
      <c r="C459" t="s">
        <v>48</v>
      </c>
      <c r="D459" t="s">
        <v>26</v>
      </c>
      <c r="E459" t="s">
        <v>98</v>
      </c>
      <c r="F459" t="s">
        <v>34</v>
      </c>
      <c r="G459" t="s">
        <v>56</v>
      </c>
      <c r="H459" t="s">
        <v>958</v>
      </c>
      <c r="I459">
        <v>13.6</v>
      </c>
      <c r="J459">
        <v>24</v>
      </c>
      <c r="K459">
        <v>15800</v>
      </c>
      <c r="L459">
        <v>1</v>
      </c>
      <c r="M459">
        <v>5</v>
      </c>
      <c r="N459" t="s">
        <v>23</v>
      </c>
      <c r="O459" t="s">
        <v>24</v>
      </c>
      <c r="P459" t="s">
        <v>23</v>
      </c>
    </row>
    <row r="460" spans="1:16" x14ac:dyDescent="0.2">
      <c r="A460" t="s">
        <v>959</v>
      </c>
      <c r="B460">
        <v>26</v>
      </c>
      <c r="C460" t="s">
        <v>31</v>
      </c>
      <c r="D460" t="s">
        <v>89</v>
      </c>
      <c r="E460" t="s">
        <v>142</v>
      </c>
      <c r="F460" t="s">
        <v>34</v>
      </c>
      <c r="G460" t="s">
        <v>21</v>
      </c>
      <c r="H460" t="s">
        <v>960</v>
      </c>
      <c r="I460">
        <v>0.9</v>
      </c>
      <c r="J460">
        <v>1</v>
      </c>
      <c r="K460">
        <v>8600</v>
      </c>
      <c r="L460">
        <v>3</v>
      </c>
      <c r="M460">
        <v>5</v>
      </c>
      <c r="N460" t="s">
        <v>23</v>
      </c>
      <c r="O460" t="s">
        <v>24</v>
      </c>
      <c r="P460" t="s">
        <v>23</v>
      </c>
    </row>
    <row r="461" spans="1:16" x14ac:dyDescent="0.2">
      <c r="A461" t="s">
        <v>961</v>
      </c>
      <c r="B461">
        <v>32</v>
      </c>
      <c r="C461" t="s">
        <v>31</v>
      </c>
      <c r="D461" t="s">
        <v>32</v>
      </c>
      <c r="E461" t="s">
        <v>33</v>
      </c>
      <c r="F461" t="s">
        <v>34</v>
      </c>
      <c r="G461" t="s">
        <v>56</v>
      </c>
      <c r="H461" t="s">
        <v>454</v>
      </c>
      <c r="I461">
        <v>6</v>
      </c>
      <c r="J461">
        <v>6</v>
      </c>
      <c r="K461">
        <v>9800</v>
      </c>
      <c r="L461">
        <v>4</v>
      </c>
      <c r="M461">
        <v>4</v>
      </c>
      <c r="N461" t="s">
        <v>41</v>
      </c>
      <c r="O461" t="s">
        <v>24</v>
      </c>
      <c r="P461" t="s">
        <v>23</v>
      </c>
    </row>
    <row r="462" spans="1:16" x14ac:dyDescent="0.2">
      <c r="A462" t="s">
        <v>962</v>
      </c>
      <c r="B462">
        <v>35</v>
      </c>
      <c r="C462" t="s">
        <v>17</v>
      </c>
      <c r="D462" t="s">
        <v>18</v>
      </c>
      <c r="E462" t="s">
        <v>127</v>
      </c>
      <c r="F462" t="s">
        <v>50</v>
      </c>
      <c r="G462" t="s">
        <v>56</v>
      </c>
      <c r="H462" t="s">
        <v>963</v>
      </c>
      <c r="I462">
        <v>7.6</v>
      </c>
      <c r="J462">
        <v>12</v>
      </c>
      <c r="K462">
        <v>9100</v>
      </c>
      <c r="L462">
        <v>3</v>
      </c>
      <c r="M462">
        <v>3</v>
      </c>
      <c r="N462" t="s">
        <v>41</v>
      </c>
      <c r="O462" t="s">
        <v>24</v>
      </c>
      <c r="P462" t="s">
        <v>23</v>
      </c>
    </row>
    <row r="463" spans="1:16" x14ac:dyDescent="0.2">
      <c r="A463" t="s">
        <v>964</v>
      </c>
      <c r="B463">
        <v>49</v>
      </c>
      <c r="C463" t="s">
        <v>31</v>
      </c>
      <c r="D463" t="s">
        <v>18</v>
      </c>
      <c r="E463" t="s">
        <v>199</v>
      </c>
      <c r="F463" t="s">
        <v>20</v>
      </c>
      <c r="G463" t="s">
        <v>21</v>
      </c>
      <c r="H463" t="s">
        <v>965</v>
      </c>
      <c r="I463">
        <v>7.9</v>
      </c>
      <c r="J463">
        <v>24</v>
      </c>
      <c r="K463">
        <v>16000</v>
      </c>
      <c r="L463">
        <v>5</v>
      </c>
      <c r="M463">
        <v>4</v>
      </c>
      <c r="N463" t="s">
        <v>23</v>
      </c>
      <c r="O463" t="s">
        <v>24</v>
      </c>
      <c r="P463" t="s">
        <v>23</v>
      </c>
    </row>
    <row r="464" spans="1:16" x14ac:dyDescent="0.2">
      <c r="A464" t="s">
        <v>966</v>
      </c>
      <c r="B464">
        <v>39</v>
      </c>
      <c r="C464" t="s">
        <v>17</v>
      </c>
      <c r="D464" t="s">
        <v>38</v>
      </c>
      <c r="E464" t="s">
        <v>76</v>
      </c>
      <c r="F464" t="s">
        <v>50</v>
      </c>
      <c r="G464" t="s">
        <v>28</v>
      </c>
      <c r="H464" t="s">
        <v>967</v>
      </c>
      <c r="I464">
        <v>2.2999999999999998</v>
      </c>
      <c r="J464">
        <v>18</v>
      </c>
      <c r="K464">
        <v>17700</v>
      </c>
      <c r="L464">
        <v>2</v>
      </c>
      <c r="M464">
        <v>2</v>
      </c>
      <c r="N464" t="s">
        <v>41</v>
      </c>
      <c r="O464" t="s">
        <v>24</v>
      </c>
      <c r="P464" t="s">
        <v>23</v>
      </c>
    </row>
    <row r="465" spans="1:16" x14ac:dyDescent="0.2">
      <c r="A465" t="s">
        <v>968</v>
      </c>
      <c r="B465">
        <v>51</v>
      </c>
      <c r="C465" t="s">
        <v>48</v>
      </c>
      <c r="D465" t="s">
        <v>18</v>
      </c>
      <c r="E465" t="s">
        <v>127</v>
      </c>
      <c r="F465" t="s">
        <v>50</v>
      </c>
      <c r="G465" t="s">
        <v>56</v>
      </c>
      <c r="H465" t="s">
        <v>969</v>
      </c>
      <c r="I465">
        <v>9</v>
      </c>
      <c r="J465">
        <v>28</v>
      </c>
      <c r="K465">
        <v>13500</v>
      </c>
      <c r="L465">
        <v>1</v>
      </c>
      <c r="M465">
        <v>3</v>
      </c>
      <c r="N465" t="s">
        <v>41</v>
      </c>
      <c r="O465" t="s">
        <v>36</v>
      </c>
      <c r="P465" t="s">
        <v>23</v>
      </c>
    </row>
    <row r="466" spans="1:16" x14ac:dyDescent="0.2">
      <c r="A466" t="s">
        <v>970</v>
      </c>
      <c r="B466">
        <v>52</v>
      </c>
      <c r="C466" t="s">
        <v>43</v>
      </c>
      <c r="D466" t="s">
        <v>32</v>
      </c>
      <c r="E466" t="s">
        <v>33</v>
      </c>
      <c r="F466" t="s">
        <v>50</v>
      </c>
      <c r="G466" t="s">
        <v>45</v>
      </c>
      <c r="H466" t="s">
        <v>627</v>
      </c>
      <c r="I466">
        <v>14.2</v>
      </c>
      <c r="J466">
        <v>27</v>
      </c>
      <c r="K466">
        <v>15400</v>
      </c>
      <c r="L466">
        <v>4</v>
      </c>
      <c r="M466">
        <v>3</v>
      </c>
      <c r="N466" t="s">
        <v>23</v>
      </c>
      <c r="O466" t="s">
        <v>24</v>
      </c>
      <c r="P466" t="s">
        <v>23</v>
      </c>
    </row>
    <row r="467" spans="1:16" x14ac:dyDescent="0.2">
      <c r="A467" t="s">
        <v>971</v>
      </c>
      <c r="B467">
        <v>39</v>
      </c>
      <c r="C467" t="s">
        <v>43</v>
      </c>
      <c r="D467" t="s">
        <v>38</v>
      </c>
      <c r="E467" t="s">
        <v>44</v>
      </c>
      <c r="F467" t="s">
        <v>20</v>
      </c>
      <c r="G467" t="s">
        <v>45</v>
      </c>
      <c r="H467" t="s">
        <v>972</v>
      </c>
      <c r="I467">
        <v>1.1000000000000001</v>
      </c>
      <c r="J467">
        <v>12</v>
      </c>
      <c r="K467">
        <v>16900</v>
      </c>
      <c r="L467">
        <v>3</v>
      </c>
      <c r="M467">
        <v>5</v>
      </c>
      <c r="N467" t="s">
        <v>23</v>
      </c>
      <c r="O467" t="s">
        <v>24</v>
      </c>
      <c r="P467" t="s">
        <v>23</v>
      </c>
    </row>
    <row r="468" spans="1:16" x14ac:dyDescent="0.2">
      <c r="A468" t="s">
        <v>973</v>
      </c>
      <c r="B468">
        <v>28</v>
      </c>
      <c r="C468" t="s">
        <v>48</v>
      </c>
      <c r="D468" t="s">
        <v>26</v>
      </c>
      <c r="E468" t="s">
        <v>27</v>
      </c>
      <c r="F468" t="s">
        <v>20</v>
      </c>
      <c r="G468" t="s">
        <v>51</v>
      </c>
      <c r="H468" t="s">
        <v>974</v>
      </c>
      <c r="I468">
        <v>3.4</v>
      </c>
      <c r="J468">
        <v>7</v>
      </c>
      <c r="K468">
        <v>16300</v>
      </c>
      <c r="L468">
        <v>3</v>
      </c>
      <c r="M468">
        <v>3</v>
      </c>
      <c r="N468" t="s">
        <v>41</v>
      </c>
      <c r="O468" t="s">
        <v>36</v>
      </c>
      <c r="P468" t="s">
        <v>23</v>
      </c>
    </row>
    <row r="469" spans="1:16" x14ac:dyDescent="0.2">
      <c r="A469" t="s">
        <v>975</v>
      </c>
      <c r="B469">
        <v>55</v>
      </c>
      <c r="C469" t="s">
        <v>17</v>
      </c>
      <c r="D469" t="s">
        <v>38</v>
      </c>
      <c r="E469" t="s">
        <v>76</v>
      </c>
      <c r="F469" t="s">
        <v>34</v>
      </c>
      <c r="G469" t="s">
        <v>56</v>
      </c>
      <c r="H469" t="s">
        <v>976</v>
      </c>
      <c r="I469">
        <v>2.7</v>
      </c>
      <c r="J469">
        <v>32</v>
      </c>
      <c r="K469">
        <v>19200</v>
      </c>
      <c r="L469">
        <v>3</v>
      </c>
      <c r="M469">
        <v>3</v>
      </c>
      <c r="N469" t="s">
        <v>41</v>
      </c>
      <c r="O469" t="s">
        <v>24</v>
      </c>
      <c r="P469" t="s">
        <v>23</v>
      </c>
    </row>
    <row r="470" spans="1:16" x14ac:dyDescent="0.2">
      <c r="A470" t="s">
        <v>977</v>
      </c>
      <c r="B470">
        <v>39</v>
      </c>
      <c r="C470" t="s">
        <v>17</v>
      </c>
      <c r="D470" t="s">
        <v>89</v>
      </c>
      <c r="E470" t="s">
        <v>90</v>
      </c>
      <c r="F470" t="s">
        <v>34</v>
      </c>
      <c r="G470" t="s">
        <v>28</v>
      </c>
      <c r="H470" t="s">
        <v>978</v>
      </c>
      <c r="I470">
        <v>6.2</v>
      </c>
      <c r="J470">
        <v>15</v>
      </c>
      <c r="K470">
        <v>13300</v>
      </c>
      <c r="L470">
        <v>4</v>
      </c>
      <c r="M470">
        <v>4</v>
      </c>
      <c r="N470" t="s">
        <v>23</v>
      </c>
      <c r="O470" t="s">
        <v>80</v>
      </c>
      <c r="P470" t="s">
        <v>23</v>
      </c>
    </row>
    <row r="471" spans="1:16" x14ac:dyDescent="0.2">
      <c r="A471" t="s">
        <v>979</v>
      </c>
      <c r="B471">
        <v>56</v>
      </c>
      <c r="C471" t="s">
        <v>43</v>
      </c>
      <c r="D471" t="s">
        <v>54</v>
      </c>
      <c r="E471" t="s">
        <v>55</v>
      </c>
      <c r="F471" t="s">
        <v>34</v>
      </c>
      <c r="G471" t="s">
        <v>56</v>
      </c>
      <c r="H471" t="s">
        <v>980</v>
      </c>
      <c r="I471">
        <v>6.6</v>
      </c>
      <c r="J471">
        <v>35</v>
      </c>
      <c r="K471">
        <v>14500</v>
      </c>
      <c r="L471">
        <v>4</v>
      </c>
      <c r="M471">
        <v>3</v>
      </c>
      <c r="N471" t="s">
        <v>23</v>
      </c>
      <c r="O471" t="s">
        <v>24</v>
      </c>
      <c r="P471" t="s">
        <v>23</v>
      </c>
    </row>
    <row r="472" spans="1:16" x14ac:dyDescent="0.2">
      <c r="A472" t="s">
        <v>981</v>
      </c>
      <c r="B472">
        <v>33</v>
      </c>
      <c r="C472" t="s">
        <v>17</v>
      </c>
      <c r="D472" t="s">
        <v>26</v>
      </c>
      <c r="E472" t="s">
        <v>98</v>
      </c>
      <c r="F472" t="s">
        <v>34</v>
      </c>
      <c r="G472" t="s">
        <v>51</v>
      </c>
      <c r="H472" t="s">
        <v>982</v>
      </c>
      <c r="I472">
        <v>1.8</v>
      </c>
      <c r="J472">
        <v>12</v>
      </c>
      <c r="K472">
        <v>12900</v>
      </c>
      <c r="L472">
        <v>4</v>
      </c>
      <c r="M472">
        <v>5</v>
      </c>
      <c r="N472" t="s">
        <v>23</v>
      </c>
      <c r="O472" t="s">
        <v>24</v>
      </c>
      <c r="P472" t="s">
        <v>23</v>
      </c>
    </row>
    <row r="473" spans="1:16" x14ac:dyDescent="0.2">
      <c r="A473" t="s">
        <v>983</v>
      </c>
      <c r="B473">
        <v>48</v>
      </c>
      <c r="C473" t="s">
        <v>31</v>
      </c>
      <c r="D473" t="s">
        <v>38</v>
      </c>
      <c r="E473" t="s">
        <v>76</v>
      </c>
      <c r="F473" t="s">
        <v>34</v>
      </c>
      <c r="G473" t="s">
        <v>28</v>
      </c>
      <c r="H473" t="s">
        <v>467</v>
      </c>
      <c r="I473">
        <v>8.1999999999999993</v>
      </c>
      <c r="J473">
        <v>25</v>
      </c>
      <c r="K473">
        <v>17800</v>
      </c>
      <c r="L473">
        <v>3</v>
      </c>
      <c r="M473">
        <v>3</v>
      </c>
      <c r="N473" t="s">
        <v>23</v>
      </c>
      <c r="O473" t="s">
        <v>36</v>
      </c>
      <c r="P473" t="s">
        <v>23</v>
      </c>
    </row>
    <row r="474" spans="1:16" x14ac:dyDescent="0.2">
      <c r="A474" t="s">
        <v>984</v>
      </c>
      <c r="B474">
        <v>31</v>
      </c>
      <c r="C474" t="s">
        <v>48</v>
      </c>
      <c r="D474" t="s">
        <v>38</v>
      </c>
      <c r="E474" t="s">
        <v>44</v>
      </c>
      <c r="F474" t="s">
        <v>50</v>
      </c>
      <c r="G474" t="s">
        <v>56</v>
      </c>
      <c r="H474" t="s">
        <v>985</v>
      </c>
      <c r="I474">
        <v>3.9</v>
      </c>
      <c r="J474">
        <v>4</v>
      </c>
      <c r="K474">
        <v>15800</v>
      </c>
      <c r="L474">
        <v>4</v>
      </c>
      <c r="M474">
        <v>3</v>
      </c>
      <c r="N474" t="s">
        <v>23</v>
      </c>
      <c r="O474" t="s">
        <v>36</v>
      </c>
      <c r="P474" t="s">
        <v>23</v>
      </c>
    </row>
    <row r="475" spans="1:16" x14ac:dyDescent="0.2">
      <c r="A475" t="s">
        <v>986</v>
      </c>
      <c r="B475">
        <v>58</v>
      </c>
      <c r="C475" t="s">
        <v>43</v>
      </c>
      <c r="D475" t="s">
        <v>32</v>
      </c>
      <c r="E475" t="s">
        <v>139</v>
      </c>
      <c r="F475" t="s">
        <v>20</v>
      </c>
      <c r="G475" t="s">
        <v>45</v>
      </c>
      <c r="H475" t="s">
        <v>987</v>
      </c>
      <c r="I475">
        <v>8.1</v>
      </c>
      <c r="J475">
        <v>31</v>
      </c>
      <c r="K475">
        <v>12400</v>
      </c>
      <c r="L475">
        <v>3</v>
      </c>
      <c r="M475">
        <v>5</v>
      </c>
      <c r="N475" t="s">
        <v>23</v>
      </c>
      <c r="O475" t="s">
        <v>36</v>
      </c>
      <c r="P475" t="s">
        <v>23</v>
      </c>
    </row>
    <row r="476" spans="1:16" x14ac:dyDescent="0.2">
      <c r="A476" t="s">
        <v>988</v>
      </c>
      <c r="B476">
        <v>56</v>
      </c>
      <c r="C476" t="s">
        <v>17</v>
      </c>
      <c r="D476" t="s">
        <v>38</v>
      </c>
      <c r="E476" t="s">
        <v>44</v>
      </c>
      <c r="F476" t="s">
        <v>20</v>
      </c>
      <c r="G476" t="s">
        <v>51</v>
      </c>
      <c r="H476" t="s">
        <v>989</v>
      </c>
      <c r="I476">
        <v>0.9</v>
      </c>
      <c r="J476">
        <v>32</v>
      </c>
      <c r="K476">
        <v>20300</v>
      </c>
      <c r="L476">
        <v>4</v>
      </c>
      <c r="M476">
        <v>3</v>
      </c>
      <c r="N476" t="s">
        <v>23</v>
      </c>
      <c r="O476" t="s">
        <v>24</v>
      </c>
      <c r="P476" t="s">
        <v>41</v>
      </c>
    </row>
    <row r="477" spans="1:16" x14ac:dyDescent="0.2">
      <c r="A477" t="s">
        <v>990</v>
      </c>
      <c r="B477">
        <v>28</v>
      </c>
      <c r="C477" t="s">
        <v>17</v>
      </c>
      <c r="D477" t="s">
        <v>32</v>
      </c>
      <c r="E477" t="s">
        <v>149</v>
      </c>
      <c r="F477" t="s">
        <v>34</v>
      </c>
      <c r="G477" t="s">
        <v>51</v>
      </c>
      <c r="H477" t="s">
        <v>991</v>
      </c>
      <c r="I477">
        <v>1.6</v>
      </c>
      <c r="J477">
        <v>2</v>
      </c>
      <c r="K477">
        <v>17900</v>
      </c>
      <c r="L477">
        <v>3</v>
      </c>
      <c r="M477">
        <v>4</v>
      </c>
      <c r="N477" t="s">
        <v>41</v>
      </c>
      <c r="O477" t="s">
        <v>24</v>
      </c>
      <c r="P477" t="s">
        <v>23</v>
      </c>
    </row>
    <row r="478" spans="1:16" x14ac:dyDescent="0.2">
      <c r="A478" t="s">
        <v>992</v>
      </c>
      <c r="B478">
        <v>57</v>
      </c>
      <c r="C478" t="s">
        <v>48</v>
      </c>
      <c r="D478" t="s">
        <v>89</v>
      </c>
      <c r="E478" t="s">
        <v>101</v>
      </c>
      <c r="F478" t="s">
        <v>20</v>
      </c>
      <c r="G478" t="s">
        <v>56</v>
      </c>
      <c r="H478" t="s">
        <v>177</v>
      </c>
      <c r="I478">
        <v>5.6</v>
      </c>
      <c r="J478">
        <v>33</v>
      </c>
      <c r="K478">
        <v>21300</v>
      </c>
      <c r="L478">
        <v>5</v>
      </c>
      <c r="M478">
        <v>4</v>
      </c>
      <c r="N478" t="s">
        <v>23</v>
      </c>
      <c r="O478" t="s">
        <v>36</v>
      </c>
      <c r="P478" t="s">
        <v>41</v>
      </c>
    </row>
    <row r="479" spans="1:16" x14ac:dyDescent="0.2">
      <c r="A479" t="s">
        <v>993</v>
      </c>
      <c r="B479">
        <v>41</v>
      </c>
      <c r="C479" t="s">
        <v>48</v>
      </c>
      <c r="D479" t="s">
        <v>54</v>
      </c>
      <c r="E479" t="s">
        <v>55</v>
      </c>
      <c r="F479" t="s">
        <v>50</v>
      </c>
      <c r="G479" t="s">
        <v>56</v>
      </c>
      <c r="H479" t="s">
        <v>994</v>
      </c>
      <c r="I479">
        <v>14.8</v>
      </c>
      <c r="J479">
        <v>17</v>
      </c>
      <c r="K479">
        <v>11100</v>
      </c>
      <c r="L479">
        <v>2</v>
      </c>
      <c r="M479">
        <v>3</v>
      </c>
      <c r="N479" t="s">
        <v>23</v>
      </c>
      <c r="O479" t="s">
        <v>80</v>
      </c>
      <c r="P479" t="s">
        <v>23</v>
      </c>
    </row>
    <row r="480" spans="1:16" x14ac:dyDescent="0.2">
      <c r="A480" t="s">
        <v>995</v>
      </c>
      <c r="B480">
        <v>53</v>
      </c>
      <c r="C480" t="s">
        <v>48</v>
      </c>
      <c r="D480" t="s">
        <v>18</v>
      </c>
      <c r="E480" t="s">
        <v>19</v>
      </c>
      <c r="F480" t="s">
        <v>50</v>
      </c>
      <c r="G480" t="s">
        <v>51</v>
      </c>
      <c r="H480" t="s">
        <v>996</v>
      </c>
      <c r="I480">
        <v>13.4</v>
      </c>
      <c r="J480">
        <v>31</v>
      </c>
      <c r="K480">
        <v>11800</v>
      </c>
      <c r="L480">
        <v>4</v>
      </c>
      <c r="M480">
        <v>3</v>
      </c>
      <c r="N480" t="s">
        <v>23</v>
      </c>
      <c r="O480" t="s">
        <v>24</v>
      </c>
      <c r="P480" t="s">
        <v>23</v>
      </c>
    </row>
    <row r="481" spans="1:16" x14ac:dyDescent="0.2">
      <c r="A481" t="s">
        <v>997</v>
      </c>
      <c r="B481">
        <v>30</v>
      </c>
      <c r="C481" t="s">
        <v>43</v>
      </c>
      <c r="D481" t="s">
        <v>54</v>
      </c>
      <c r="E481" t="s">
        <v>64</v>
      </c>
      <c r="F481" t="s">
        <v>34</v>
      </c>
      <c r="G481" t="s">
        <v>45</v>
      </c>
      <c r="H481" t="s">
        <v>998</v>
      </c>
      <c r="I481">
        <v>1.5</v>
      </c>
      <c r="J481">
        <v>9</v>
      </c>
      <c r="K481">
        <v>11000</v>
      </c>
      <c r="L481">
        <v>3</v>
      </c>
      <c r="M481">
        <v>3</v>
      </c>
      <c r="N481" t="s">
        <v>23</v>
      </c>
      <c r="O481" t="s">
        <v>80</v>
      </c>
      <c r="P481" t="s">
        <v>23</v>
      </c>
    </row>
    <row r="482" spans="1:16" x14ac:dyDescent="0.2">
      <c r="A482" t="s">
        <v>999</v>
      </c>
      <c r="B482">
        <v>47</v>
      </c>
      <c r="C482" t="s">
        <v>48</v>
      </c>
      <c r="D482" t="s">
        <v>26</v>
      </c>
      <c r="E482" t="s">
        <v>67</v>
      </c>
      <c r="F482" t="s">
        <v>20</v>
      </c>
      <c r="G482" t="s">
        <v>51</v>
      </c>
      <c r="H482" t="s">
        <v>1000</v>
      </c>
      <c r="I482">
        <v>1.7</v>
      </c>
      <c r="J482">
        <v>23</v>
      </c>
      <c r="K482">
        <v>10500</v>
      </c>
      <c r="L482">
        <v>5</v>
      </c>
      <c r="M482">
        <v>3</v>
      </c>
      <c r="N482" t="s">
        <v>23</v>
      </c>
      <c r="O482" t="s">
        <v>24</v>
      </c>
      <c r="P482" t="s">
        <v>23</v>
      </c>
    </row>
    <row r="483" spans="1:16" x14ac:dyDescent="0.2">
      <c r="A483" t="s">
        <v>1001</v>
      </c>
      <c r="B483">
        <v>35</v>
      </c>
      <c r="C483" t="s">
        <v>17</v>
      </c>
      <c r="D483" t="s">
        <v>54</v>
      </c>
      <c r="E483" t="s">
        <v>82</v>
      </c>
      <c r="F483" t="s">
        <v>20</v>
      </c>
      <c r="G483" t="s">
        <v>21</v>
      </c>
      <c r="H483" t="s">
        <v>1002</v>
      </c>
      <c r="I483">
        <v>3.1</v>
      </c>
      <c r="J483">
        <v>13</v>
      </c>
      <c r="K483">
        <v>8600</v>
      </c>
      <c r="L483">
        <v>3</v>
      </c>
      <c r="M483">
        <v>3</v>
      </c>
      <c r="N483" t="s">
        <v>23</v>
      </c>
      <c r="O483" t="s">
        <v>24</v>
      </c>
      <c r="P483" t="s">
        <v>23</v>
      </c>
    </row>
    <row r="484" spans="1:16" x14ac:dyDescent="0.2">
      <c r="A484" t="s">
        <v>1003</v>
      </c>
      <c r="B484">
        <v>23</v>
      </c>
      <c r="C484" t="s">
        <v>17</v>
      </c>
      <c r="D484" t="s">
        <v>38</v>
      </c>
      <c r="E484" t="s">
        <v>59</v>
      </c>
      <c r="F484" t="s">
        <v>20</v>
      </c>
      <c r="G484" t="s">
        <v>21</v>
      </c>
      <c r="H484" t="s">
        <v>289</v>
      </c>
      <c r="I484">
        <v>0.3</v>
      </c>
      <c r="J484">
        <v>1</v>
      </c>
      <c r="K484">
        <v>24200</v>
      </c>
      <c r="L484">
        <v>3</v>
      </c>
      <c r="M484">
        <v>2</v>
      </c>
      <c r="N484" t="s">
        <v>41</v>
      </c>
      <c r="O484" t="s">
        <v>24</v>
      </c>
      <c r="P484" t="s">
        <v>41</v>
      </c>
    </row>
    <row r="485" spans="1:16" x14ac:dyDescent="0.2">
      <c r="A485" t="s">
        <v>1004</v>
      </c>
      <c r="B485">
        <v>58</v>
      </c>
      <c r="C485" t="s">
        <v>48</v>
      </c>
      <c r="D485" t="s">
        <v>89</v>
      </c>
      <c r="E485" t="s">
        <v>142</v>
      </c>
      <c r="F485" t="s">
        <v>20</v>
      </c>
      <c r="G485" t="s">
        <v>56</v>
      </c>
      <c r="H485" t="s">
        <v>1005</v>
      </c>
      <c r="I485">
        <v>4</v>
      </c>
      <c r="J485">
        <v>36</v>
      </c>
      <c r="K485">
        <v>16100</v>
      </c>
      <c r="L485">
        <v>1</v>
      </c>
      <c r="M485">
        <v>2</v>
      </c>
      <c r="N485" t="s">
        <v>23</v>
      </c>
      <c r="O485" t="s">
        <v>24</v>
      </c>
      <c r="P485" t="s">
        <v>23</v>
      </c>
    </row>
    <row r="486" spans="1:16" x14ac:dyDescent="0.2">
      <c r="A486" t="s">
        <v>1006</v>
      </c>
      <c r="B486">
        <v>53</v>
      </c>
      <c r="C486" t="s">
        <v>17</v>
      </c>
      <c r="D486" t="s">
        <v>18</v>
      </c>
      <c r="E486" t="s">
        <v>127</v>
      </c>
      <c r="F486" t="s">
        <v>34</v>
      </c>
      <c r="G486" t="s">
        <v>21</v>
      </c>
      <c r="H486" t="s">
        <v>1007</v>
      </c>
      <c r="I486">
        <v>1.5</v>
      </c>
      <c r="J486">
        <v>28</v>
      </c>
      <c r="K486">
        <v>13200</v>
      </c>
      <c r="L486">
        <v>4</v>
      </c>
      <c r="M486">
        <v>4</v>
      </c>
      <c r="N486" t="s">
        <v>23</v>
      </c>
      <c r="O486" t="s">
        <v>80</v>
      </c>
      <c r="P486" t="s">
        <v>23</v>
      </c>
    </row>
    <row r="487" spans="1:16" x14ac:dyDescent="0.2">
      <c r="A487" t="s">
        <v>1008</v>
      </c>
      <c r="B487">
        <v>44</v>
      </c>
      <c r="C487" t="s">
        <v>43</v>
      </c>
      <c r="D487" t="s">
        <v>26</v>
      </c>
      <c r="E487" t="s">
        <v>49</v>
      </c>
      <c r="F487" t="s">
        <v>50</v>
      </c>
      <c r="G487" t="s">
        <v>21</v>
      </c>
      <c r="H487" t="s">
        <v>1009</v>
      </c>
      <c r="I487">
        <v>12.6</v>
      </c>
      <c r="J487">
        <v>18</v>
      </c>
      <c r="K487">
        <v>19600</v>
      </c>
      <c r="L487">
        <v>4</v>
      </c>
      <c r="M487">
        <v>2</v>
      </c>
      <c r="N487" t="s">
        <v>23</v>
      </c>
      <c r="O487" t="s">
        <v>80</v>
      </c>
      <c r="P487" t="s">
        <v>23</v>
      </c>
    </row>
    <row r="488" spans="1:16" x14ac:dyDescent="0.2">
      <c r="A488" t="s">
        <v>1010</v>
      </c>
      <c r="B488">
        <v>50</v>
      </c>
      <c r="C488" t="s">
        <v>17</v>
      </c>
      <c r="D488" t="s">
        <v>32</v>
      </c>
      <c r="E488" t="s">
        <v>139</v>
      </c>
      <c r="F488" t="s">
        <v>50</v>
      </c>
      <c r="G488" t="s">
        <v>51</v>
      </c>
      <c r="H488" t="s">
        <v>1011</v>
      </c>
      <c r="I488">
        <v>11.2</v>
      </c>
      <c r="J488">
        <v>29</v>
      </c>
      <c r="K488">
        <v>14000</v>
      </c>
      <c r="L488">
        <v>4</v>
      </c>
      <c r="M488">
        <v>4</v>
      </c>
      <c r="N488" t="s">
        <v>23</v>
      </c>
      <c r="O488" t="s">
        <v>24</v>
      </c>
      <c r="P488" t="s">
        <v>23</v>
      </c>
    </row>
    <row r="489" spans="1:16" x14ac:dyDescent="0.2">
      <c r="A489" t="s">
        <v>1012</v>
      </c>
      <c r="B489">
        <v>49</v>
      </c>
      <c r="C489" t="s">
        <v>48</v>
      </c>
      <c r="D489" t="s">
        <v>38</v>
      </c>
      <c r="E489" t="s">
        <v>44</v>
      </c>
      <c r="F489" t="s">
        <v>20</v>
      </c>
      <c r="G489" t="s">
        <v>21</v>
      </c>
      <c r="H489" t="s">
        <v>1013</v>
      </c>
      <c r="I489">
        <v>11.8</v>
      </c>
      <c r="J489">
        <v>27</v>
      </c>
      <c r="K489">
        <v>19400</v>
      </c>
      <c r="L489">
        <v>5</v>
      </c>
      <c r="M489">
        <v>3</v>
      </c>
      <c r="N489" t="s">
        <v>23</v>
      </c>
      <c r="O489" t="s">
        <v>36</v>
      </c>
      <c r="P489" t="s">
        <v>23</v>
      </c>
    </row>
    <row r="490" spans="1:16" x14ac:dyDescent="0.2">
      <c r="A490" t="s">
        <v>1014</v>
      </c>
      <c r="B490">
        <v>27</v>
      </c>
      <c r="C490" t="s">
        <v>43</v>
      </c>
      <c r="D490" t="s">
        <v>18</v>
      </c>
      <c r="E490" t="s">
        <v>160</v>
      </c>
      <c r="F490" t="s">
        <v>20</v>
      </c>
      <c r="G490" t="s">
        <v>51</v>
      </c>
      <c r="H490" t="s">
        <v>1015</v>
      </c>
      <c r="I490">
        <v>2.4</v>
      </c>
      <c r="J490">
        <v>3</v>
      </c>
      <c r="K490">
        <v>17800</v>
      </c>
      <c r="L490">
        <v>4</v>
      </c>
      <c r="M490">
        <v>2</v>
      </c>
      <c r="N490" t="s">
        <v>23</v>
      </c>
      <c r="O490" t="s">
        <v>36</v>
      </c>
      <c r="P490" t="s">
        <v>23</v>
      </c>
    </row>
    <row r="491" spans="1:16" x14ac:dyDescent="0.2">
      <c r="A491" t="s">
        <v>1016</v>
      </c>
      <c r="B491">
        <v>33</v>
      </c>
      <c r="C491" t="s">
        <v>48</v>
      </c>
      <c r="D491" t="s">
        <v>26</v>
      </c>
      <c r="E491" t="s">
        <v>98</v>
      </c>
      <c r="F491" t="s">
        <v>34</v>
      </c>
      <c r="G491" t="s">
        <v>28</v>
      </c>
      <c r="H491" t="s">
        <v>1017</v>
      </c>
      <c r="I491">
        <v>4.3</v>
      </c>
      <c r="J491">
        <v>8</v>
      </c>
      <c r="K491">
        <v>11300</v>
      </c>
      <c r="L491">
        <v>4</v>
      </c>
      <c r="M491">
        <v>4</v>
      </c>
      <c r="N491" t="s">
        <v>41</v>
      </c>
      <c r="O491" t="s">
        <v>36</v>
      </c>
      <c r="P491" t="s">
        <v>23</v>
      </c>
    </row>
    <row r="492" spans="1:16" x14ac:dyDescent="0.2">
      <c r="A492" t="s">
        <v>1018</v>
      </c>
      <c r="B492">
        <v>59</v>
      </c>
      <c r="C492" t="s">
        <v>43</v>
      </c>
      <c r="D492" t="s">
        <v>32</v>
      </c>
      <c r="E492" t="s">
        <v>149</v>
      </c>
      <c r="F492" t="s">
        <v>20</v>
      </c>
      <c r="G492" t="s">
        <v>21</v>
      </c>
      <c r="H492" t="s">
        <v>1019</v>
      </c>
      <c r="I492">
        <v>10.4</v>
      </c>
      <c r="J492">
        <v>35</v>
      </c>
      <c r="K492">
        <v>24200</v>
      </c>
      <c r="L492">
        <v>2</v>
      </c>
      <c r="M492">
        <v>3</v>
      </c>
      <c r="N492" t="s">
        <v>41</v>
      </c>
      <c r="O492" t="s">
        <v>24</v>
      </c>
      <c r="P492" t="s">
        <v>23</v>
      </c>
    </row>
    <row r="493" spans="1:16" x14ac:dyDescent="0.2">
      <c r="A493" t="s">
        <v>1020</v>
      </c>
      <c r="B493">
        <v>25</v>
      </c>
      <c r="C493" t="s">
        <v>17</v>
      </c>
      <c r="D493" t="s">
        <v>18</v>
      </c>
      <c r="E493" t="s">
        <v>19</v>
      </c>
      <c r="F493" t="s">
        <v>34</v>
      </c>
      <c r="G493" t="s">
        <v>56</v>
      </c>
      <c r="H493" t="s">
        <v>1021</v>
      </c>
      <c r="I493">
        <v>1.8</v>
      </c>
      <c r="J493">
        <v>1</v>
      </c>
      <c r="K493">
        <v>6700</v>
      </c>
      <c r="L493">
        <v>3</v>
      </c>
      <c r="M493">
        <v>4</v>
      </c>
      <c r="N493" t="s">
        <v>41</v>
      </c>
      <c r="O493" t="s">
        <v>36</v>
      </c>
      <c r="P493" t="s">
        <v>41</v>
      </c>
    </row>
    <row r="494" spans="1:16" x14ac:dyDescent="0.2">
      <c r="A494" t="s">
        <v>1022</v>
      </c>
      <c r="B494">
        <v>33</v>
      </c>
      <c r="C494" t="s">
        <v>17</v>
      </c>
      <c r="D494" t="s">
        <v>38</v>
      </c>
      <c r="E494" t="s">
        <v>59</v>
      </c>
      <c r="F494" t="s">
        <v>50</v>
      </c>
      <c r="G494" t="s">
        <v>21</v>
      </c>
      <c r="H494" t="s">
        <v>1023</v>
      </c>
      <c r="I494">
        <v>10.7</v>
      </c>
      <c r="J494">
        <v>10</v>
      </c>
      <c r="K494">
        <v>25200</v>
      </c>
      <c r="L494">
        <v>3</v>
      </c>
      <c r="M494">
        <v>3</v>
      </c>
      <c r="N494" t="s">
        <v>23</v>
      </c>
      <c r="O494" t="s">
        <v>24</v>
      </c>
      <c r="P494" t="s">
        <v>23</v>
      </c>
    </row>
    <row r="495" spans="1:16" x14ac:dyDescent="0.2">
      <c r="A495" t="s">
        <v>1024</v>
      </c>
      <c r="B495">
        <v>41</v>
      </c>
      <c r="C495" t="s">
        <v>43</v>
      </c>
      <c r="D495" t="s">
        <v>38</v>
      </c>
      <c r="E495" t="s">
        <v>59</v>
      </c>
      <c r="F495" t="s">
        <v>50</v>
      </c>
      <c r="G495" t="s">
        <v>28</v>
      </c>
      <c r="H495" t="s">
        <v>1025</v>
      </c>
      <c r="I495">
        <v>8.1</v>
      </c>
      <c r="J495">
        <v>14</v>
      </c>
      <c r="K495">
        <v>25700</v>
      </c>
      <c r="L495">
        <v>1</v>
      </c>
      <c r="M495">
        <v>3</v>
      </c>
      <c r="N495" t="s">
        <v>23</v>
      </c>
      <c r="O495" t="s">
        <v>36</v>
      </c>
      <c r="P495" t="s">
        <v>23</v>
      </c>
    </row>
    <row r="496" spans="1:16" x14ac:dyDescent="0.2">
      <c r="A496" t="s">
        <v>1026</v>
      </c>
      <c r="B496">
        <v>45</v>
      </c>
      <c r="C496" t="s">
        <v>43</v>
      </c>
      <c r="D496" t="s">
        <v>26</v>
      </c>
      <c r="E496" t="s">
        <v>98</v>
      </c>
      <c r="F496" t="s">
        <v>34</v>
      </c>
      <c r="G496" t="s">
        <v>21</v>
      </c>
      <c r="H496" t="s">
        <v>1027</v>
      </c>
      <c r="I496">
        <v>2.4</v>
      </c>
      <c r="J496">
        <v>21</v>
      </c>
      <c r="K496">
        <v>15500</v>
      </c>
      <c r="L496">
        <v>3</v>
      </c>
      <c r="M496">
        <v>4</v>
      </c>
      <c r="N496" t="s">
        <v>23</v>
      </c>
      <c r="O496" t="s">
        <v>24</v>
      </c>
      <c r="P496" t="s">
        <v>23</v>
      </c>
    </row>
    <row r="497" spans="1:16" x14ac:dyDescent="0.2">
      <c r="A497" t="s">
        <v>1028</v>
      </c>
      <c r="B497">
        <v>52</v>
      </c>
      <c r="C497" t="s">
        <v>48</v>
      </c>
      <c r="D497" t="s">
        <v>38</v>
      </c>
      <c r="E497" t="s">
        <v>44</v>
      </c>
      <c r="F497" t="s">
        <v>50</v>
      </c>
      <c r="G497" t="s">
        <v>56</v>
      </c>
      <c r="H497" t="s">
        <v>1029</v>
      </c>
      <c r="I497">
        <v>8.1</v>
      </c>
      <c r="J497">
        <v>27</v>
      </c>
      <c r="K497">
        <v>20900</v>
      </c>
      <c r="L497">
        <v>3</v>
      </c>
      <c r="M497">
        <v>5</v>
      </c>
      <c r="N497" t="s">
        <v>23</v>
      </c>
      <c r="O497" t="s">
        <v>24</v>
      </c>
      <c r="P497" t="s">
        <v>41</v>
      </c>
    </row>
    <row r="498" spans="1:16" x14ac:dyDescent="0.2">
      <c r="A498" t="s">
        <v>1030</v>
      </c>
      <c r="B498">
        <v>45</v>
      </c>
      <c r="C498" t="s">
        <v>17</v>
      </c>
      <c r="D498" t="s">
        <v>54</v>
      </c>
      <c r="E498" t="s">
        <v>64</v>
      </c>
      <c r="F498" t="s">
        <v>34</v>
      </c>
      <c r="G498" t="s">
        <v>21</v>
      </c>
      <c r="H498" t="s">
        <v>1031</v>
      </c>
      <c r="I498">
        <v>9.1999999999999993</v>
      </c>
      <c r="J498">
        <v>24</v>
      </c>
      <c r="K498">
        <v>14000</v>
      </c>
      <c r="L498">
        <v>3</v>
      </c>
      <c r="M498">
        <v>2</v>
      </c>
      <c r="N498" t="s">
        <v>41</v>
      </c>
      <c r="O498" t="s">
        <v>24</v>
      </c>
      <c r="P498" t="s">
        <v>23</v>
      </c>
    </row>
    <row r="499" spans="1:16" x14ac:dyDescent="0.2">
      <c r="A499" t="s">
        <v>1032</v>
      </c>
      <c r="B499">
        <v>42</v>
      </c>
      <c r="C499" t="s">
        <v>17</v>
      </c>
      <c r="D499" t="s">
        <v>32</v>
      </c>
      <c r="E499" t="s">
        <v>139</v>
      </c>
      <c r="F499" t="s">
        <v>34</v>
      </c>
      <c r="G499" t="s">
        <v>28</v>
      </c>
      <c r="H499" t="s">
        <v>1033</v>
      </c>
      <c r="I499">
        <v>0.5</v>
      </c>
      <c r="J499">
        <v>20</v>
      </c>
      <c r="K499">
        <v>11700</v>
      </c>
      <c r="L499">
        <v>1</v>
      </c>
      <c r="M499">
        <v>4</v>
      </c>
      <c r="N499" t="s">
        <v>23</v>
      </c>
      <c r="O499" t="s">
        <v>24</v>
      </c>
      <c r="P499" t="s">
        <v>23</v>
      </c>
    </row>
    <row r="500" spans="1:16" x14ac:dyDescent="0.2">
      <c r="A500" t="s">
        <v>1034</v>
      </c>
      <c r="B500">
        <v>41</v>
      </c>
      <c r="C500" t="s">
        <v>48</v>
      </c>
      <c r="D500" t="s">
        <v>89</v>
      </c>
      <c r="E500" t="s">
        <v>93</v>
      </c>
      <c r="F500" t="s">
        <v>20</v>
      </c>
      <c r="G500" t="s">
        <v>56</v>
      </c>
      <c r="H500" t="s">
        <v>1035</v>
      </c>
      <c r="I500">
        <v>12.2</v>
      </c>
      <c r="J500">
        <v>17</v>
      </c>
      <c r="K500">
        <v>9700</v>
      </c>
      <c r="L500">
        <v>4</v>
      </c>
      <c r="M500">
        <v>4</v>
      </c>
      <c r="N500" t="s">
        <v>41</v>
      </c>
      <c r="O500" t="s">
        <v>36</v>
      </c>
      <c r="P500" t="s">
        <v>23</v>
      </c>
    </row>
    <row r="501" spans="1:16" x14ac:dyDescent="0.2">
      <c r="A501" t="s">
        <v>1036</v>
      </c>
      <c r="B501">
        <v>48</v>
      </c>
      <c r="C501" t="s">
        <v>31</v>
      </c>
      <c r="D501" t="s">
        <v>32</v>
      </c>
      <c r="E501" t="s">
        <v>33</v>
      </c>
      <c r="F501" t="s">
        <v>20</v>
      </c>
      <c r="G501" t="s">
        <v>56</v>
      </c>
      <c r="H501" t="s">
        <v>1037</v>
      </c>
      <c r="I501">
        <v>10.7</v>
      </c>
      <c r="J501">
        <v>26</v>
      </c>
      <c r="K501">
        <v>13400</v>
      </c>
      <c r="L501">
        <v>4</v>
      </c>
      <c r="M501">
        <v>4</v>
      </c>
      <c r="N501" t="s">
        <v>23</v>
      </c>
      <c r="O501" t="s">
        <v>24</v>
      </c>
      <c r="P501" t="s">
        <v>23</v>
      </c>
    </row>
  </sheetData>
  <autoFilter ref="A1:P5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96DB5-93C0-7741-B162-1C675CD9D394}">
  <dimension ref="A1:C33"/>
  <sheetViews>
    <sheetView tabSelected="1" zoomScale="91" workbookViewId="0">
      <selection activeCell="M23" sqref="M23"/>
    </sheetView>
  </sheetViews>
  <sheetFormatPr baseColWidth="10" defaultRowHeight="15" x14ac:dyDescent="0.2"/>
  <cols>
    <col min="1" max="1" width="20" customWidth="1"/>
    <col min="2" max="3" width="14.5" customWidth="1"/>
  </cols>
  <sheetData>
    <row r="1" spans="1:3" ht="21" x14ac:dyDescent="0.25">
      <c r="A1" s="7" t="s">
        <v>1052</v>
      </c>
      <c r="B1" s="7"/>
      <c r="C1" s="7"/>
    </row>
    <row r="3" spans="1:3" x14ac:dyDescent="0.2">
      <c r="A3" t="s">
        <v>1038</v>
      </c>
      <c r="B3">
        <f>COUNTA('[1]Employee Data '!A2:A501)</f>
        <v>500</v>
      </c>
    </row>
    <row r="4" spans="1:3" ht="16" x14ac:dyDescent="0.2">
      <c r="A4" s="5" t="s">
        <v>1039</v>
      </c>
      <c r="B4" s="5" t="s">
        <v>1040</v>
      </c>
    </row>
    <row r="5" spans="1:3" x14ac:dyDescent="0.2">
      <c r="A5" t="s">
        <v>1041</v>
      </c>
      <c r="B5">
        <f>COUNTIF('Employee Data'!D:D,A5)</f>
        <v>88</v>
      </c>
    </row>
    <row r="6" spans="1:3" x14ac:dyDescent="0.2">
      <c r="A6" t="s">
        <v>1042</v>
      </c>
      <c r="B6">
        <f>COUNTIF('Employee Data'!D:D,"*Sales*")</f>
        <v>84</v>
      </c>
    </row>
    <row r="7" spans="1:3" x14ac:dyDescent="0.2">
      <c r="A7" t="s">
        <v>1043</v>
      </c>
      <c r="B7">
        <f>COUNTIF('Employee Data'!D:D,A7)</f>
        <v>101</v>
      </c>
    </row>
    <row r="8" spans="1:3" x14ac:dyDescent="0.2">
      <c r="A8" t="s">
        <v>38</v>
      </c>
      <c r="B8">
        <f>COUNTIF('Employee Data'!D:D,A8)</f>
        <v>83</v>
      </c>
    </row>
    <row r="9" spans="1:3" x14ac:dyDescent="0.2">
      <c r="A9" t="s">
        <v>1044</v>
      </c>
      <c r="B9">
        <f>COUNTIF('Employee Data'!D:D,A9)</f>
        <v>75</v>
      </c>
    </row>
    <row r="10" spans="1:3" x14ac:dyDescent="0.2">
      <c r="A10" t="s">
        <v>1045</v>
      </c>
      <c r="B10">
        <f>COUNTIF('Employee Data'!D:D,A10)</f>
        <v>69</v>
      </c>
    </row>
    <row r="12" spans="1:3" x14ac:dyDescent="0.2">
      <c r="A12" t="s">
        <v>1046</v>
      </c>
      <c r="B12">
        <f>SUM(B16:B21)</f>
        <v>43</v>
      </c>
    </row>
    <row r="13" spans="1:3" x14ac:dyDescent="0.2">
      <c r="A13" t="s">
        <v>1047</v>
      </c>
      <c r="B13" s="2">
        <f>(B12/B3)</f>
        <v>8.5999999999999993E-2</v>
      </c>
    </row>
    <row r="15" spans="1:3" ht="16" x14ac:dyDescent="0.2">
      <c r="A15" s="5" t="s">
        <v>1039</v>
      </c>
      <c r="B15" s="5" t="s">
        <v>1048</v>
      </c>
      <c r="C15" s="5" t="s">
        <v>1047</v>
      </c>
    </row>
    <row r="16" spans="1:3" x14ac:dyDescent="0.2">
      <c r="A16" t="s">
        <v>1041</v>
      </c>
      <c r="B16">
        <f>COUNTIFS('Employee Data'!D:D,A16,'Employee Data'!P:P,"Yes")</f>
        <v>12</v>
      </c>
      <c r="C16" s="2">
        <f>IFERROR(B16/B5,0)</f>
        <v>0.13636363636363635</v>
      </c>
    </row>
    <row r="17" spans="1:3" x14ac:dyDescent="0.2">
      <c r="A17" t="s">
        <v>1042</v>
      </c>
      <c r="B17">
        <f>COUNTIFS('Employee Data'!D:D,A17,'Employee Data'!P:P,"Yes")</f>
        <v>0</v>
      </c>
      <c r="C17" s="2">
        <f t="shared" ref="C17:C21" si="0">IFERROR(B17/B6,0)</f>
        <v>0</v>
      </c>
    </row>
    <row r="18" spans="1:3" x14ac:dyDescent="0.2">
      <c r="A18" t="s">
        <v>1043</v>
      </c>
      <c r="B18">
        <f>COUNTIFS('Employee Data'!D:D,A18,'Employee Data'!P:P,"Yes")</f>
        <v>9</v>
      </c>
      <c r="C18" s="2">
        <f t="shared" si="0"/>
        <v>8.9108910891089105E-2</v>
      </c>
    </row>
    <row r="19" spans="1:3" x14ac:dyDescent="0.2">
      <c r="A19" t="s">
        <v>38</v>
      </c>
      <c r="B19">
        <f>COUNTIFS('Employee Data'!D:D,A19,'Employee Data'!P:P,"Yes")</f>
        <v>8</v>
      </c>
      <c r="C19" s="2">
        <f t="shared" si="0"/>
        <v>9.6385542168674704E-2</v>
      </c>
    </row>
    <row r="20" spans="1:3" x14ac:dyDescent="0.2">
      <c r="A20" t="s">
        <v>1044</v>
      </c>
      <c r="B20">
        <f>COUNTIFS('Employee Data'!D:D,A20,'Employee Data'!P:P,"Yes")</f>
        <v>7</v>
      </c>
      <c r="C20" s="2">
        <f t="shared" si="0"/>
        <v>9.3333333333333338E-2</v>
      </c>
    </row>
    <row r="21" spans="1:3" x14ac:dyDescent="0.2">
      <c r="A21" t="s">
        <v>1045</v>
      </c>
      <c r="B21">
        <f>COUNTIFS('Employee Data'!D:D,A21,'Employee Data'!P:P,"Yes")</f>
        <v>7</v>
      </c>
      <c r="C21" s="2">
        <f t="shared" si="0"/>
        <v>0.10144927536231885</v>
      </c>
    </row>
    <row r="22" spans="1:3" x14ac:dyDescent="0.2">
      <c r="C22" s="3"/>
    </row>
    <row r="24" spans="1:3" x14ac:dyDescent="0.2">
      <c r="A24" s="6" t="s">
        <v>1049</v>
      </c>
    </row>
    <row r="25" spans="1:3" x14ac:dyDescent="0.2">
      <c r="A25" t="s">
        <v>1050</v>
      </c>
      <c r="B25">
        <f>AVERAGE('Employee Data'!L:L)</f>
        <v>3.3239999999999998</v>
      </c>
    </row>
    <row r="27" spans="1:3" ht="16" x14ac:dyDescent="0.2">
      <c r="A27" s="5" t="s">
        <v>1039</v>
      </c>
      <c r="B27" s="5" t="s">
        <v>1051</v>
      </c>
    </row>
    <row r="28" spans="1:3" x14ac:dyDescent="0.2">
      <c r="A28" t="s">
        <v>1041</v>
      </c>
      <c r="B28" s="4">
        <f>AVERAGEIF('Employee Data'!$D:$D,A28,'Employee Data'!$L:$L)</f>
        <v>3.1477272727272729</v>
      </c>
    </row>
    <row r="29" spans="1:3" x14ac:dyDescent="0.2">
      <c r="A29" t="s">
        <v>1042</v>
      </c>
      <c r="B29" s="4">
        <f>AVERAGEIF('Employee Data'!$D:$D,"Sales",'Employee Data'!$L:$L)</f>
        <v>3.4642857142857144</v>
      </c>
    </row>
    <row r="30" spans="1:3" x14ac:dyDescent="0.2">
      <c r="A30" t="s">
        <v>1043</v>
      </c>
      <c r="B30" s="4">
        <f>AVERAGEIF('Employee Data'!$D:$D,A30,'Employee Data'!$L:$L)</f>
        <v>3.3663366336633662</v>
      </c>
    </row>
    <row r="31" spans="1:3" x14ac:dyDescent="0.2">
      <c r="A31" t="s">
        <v>38</v>
      </c>
      <c r="B31" s="4">
        <f>AVERAGEIF('Employee Data'!$D:$D,A31,'Employee Data'!$L:$L)</f>
        <v>3.3373493975903616</v>
      </c>
    </row>
    <row r="32" spans="1:3" x14ac:dyDescent="0.2">
      <c r="A32" t="s">
        <v>1044</v>
      </c>
      <c r="B32" s="4">
        <f>AVERAGEIF('Employee Data'!$D:$D,A32,'Employee Data'!$L:$L)</f>
        <v>3.2266666666666666</v>
      </c>
    </row>
    <row r="33" spans="1:2" x14ac:dyDescent="0.2">
      <c r="A33" t="s">
        <v>1045</v>
      </c>
      <c r="B33" s="4">
        <f>AVERAGEIF('Employee Data'!$D:$D,A33,'Employee Data'!$L:$L)</f>
        <v>3.4057971014492754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Daksh Sheth</cp:lastModifiedBy>
  <dcterms:created xsi:type="dcterms:W3CDTF">2026-09-20T08:18:17Z</dcterms:created>
  <dcterms:modified xsi:type="dcterms:W3CDTF">2026-09-20T12:21:59Z</dcterms:modified>
</cp:coreProperties>
</file>